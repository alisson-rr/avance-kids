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a.barbosa\Desktop\Autismo\1.CURSOS, FACULDADES E PÓS\6. MEUS PROGRESSOS\"/>
    </mc:Choice>
  </mc:AlternateContent>
  <xr:revisionPtr revIDLastSave="0" documentId="8_{732925D8-DE31-4C7D-AAE8-1CD5D1538719}" xr6:coauthVersionLast="47" xr6:coauthVersionMax="47" xr10:uidLastSave="{00000000-0000-0000-0000-000000000000}"/>
  <bookViews>
    <workbookView xWindow="-28920" yWindow="-120" windowWidth="29040" windowHeight="15720" xr2:uid="{2702A24A-4423-4A66-821C-9127E504F7E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3" i="1" l="1"/>
  <c r="G14" i="1" s="1"/>
  <c r="H14" i="1" s="1"/>
  <c r="AA63" i="1"/>
  <c r="Z63" i="1"/>
  <c r="C14" i="1" s="1"/>
  <c r="D14" i="1" s="1"/>
  <c r="W63" i="1"/>
  <c r="V63" i="1"/>
  <c r="E13" i="1" s="1"/>
  <c r="F13" i="1" s="1"/>
  <c r="U63" i="1"/>
  <c r="C13" i="1" s="1"/>
  <c r="D13" i="1" s="1"/>
  <c r="R63" i="1"/>
  <c r="G12" i="1" s="1"/>
  <c r="H12" i="1" s="1"/>
  <c r="Q63" i="1"/>
  <c r="E12" i="1" s="1"/>
  <c r="F12" i="1" s="1"/>
  <c r="P63" i="1"/>
  <c r="C12" i="1" s="1"/>
  <c r="D12" i="1" s="1"/>
  <c r="M63" i="1"/>
  <c r="L63" i="1"/>
  <c r="E11" i="1" s="1"/>
  <c r="F11" i="1" s="1"/>
  <c r="K63" i="1"/>
  <c r="G63" i="1"/>
  <c r="E63" i="1"/>
  <c r="E10" i="1" s="1"/>
  <c r="F10" i="1" s="1"/>
  <c r="C63" i="1"/>
  <c r="C10" i="1" s="1"/>
  <c r="D10" i="1" s="1"/>
  <c r="AB18" i="1"/>
  <c r="AA18" i="1"/>
  <c r="Z18" i="1"/>
  <c r="W18" i="1"/>
  <c r="V18" i="1"/>
  <c r="U18" i="1"/>
  <c r="R18" i="1"/>
  <c r="Q18" i="1"/>
  <c r="P18" i="1"/>
  <c r="M18" i="1"/>
  <c r="L18" i="1"/>
  <c r="K18" i="1"/>
  <c r="G18" i="1"/>
  <c r="E18" i="1"/>
  <c r="C18" i="1"/>
  <c r="E14" i="1"/>
  <c r="F14" i="1" s="1"/>
  <c r="G13" i="1"/>
  <c r="H13" i="1" s="1"/>
  <c r="G11" i="1"/>
  <c r="H11" i="1" s="1"/>
  <c r="D11" i="1"/>
  <c r="C11" i="1"/>
  <c r="G10" i="1"/>
  <c r="H10" i="1" s="1"/>
  <c r="G9" i="1"/>
  <c r="E9" i="1"/>
  <c r="C9" i="1"/>
</calcChain>
</file>

<file path=xl/sharedStrings.xml><?xml version="1.0" encoding="utf-8"?>
<sst xmlns="http://schemas.openxmlformats.org/spreadsheetml/2006/main" count="264" uniqueCount="243">
  <si>
    <t>MEUS PROGRESSOS: HABILIDADES ESSENCIAIS PARA CRIANÇAS COM TRANSTORNO DO ESPECTRO AUTISTA (TEA)</t>
  </si>
  <si>
    <t>APRENDIZ:</t>
  </si>
  <si>
    <t>JOÃO (EXEMPLO)</t>
  </si>
  <si>
    <t>AVALIADOR:</t>
  </si>
  <si>
    <t>FÁBIO COELHO</t>
  </si>
  <si>
    <t>APLICAÇÃO 1:</t>
  </si>
  <si>
    <t>APLICAÇÃO 2:</t>
  </si>
  <si>
    <t>APLICAÇÃO 3:</t>
  </si>
  <si>
    <t>ÁREAS</t>
  </si>
  <si>
    <t xml:space="preserve">HABILIDADES COMUNICATIVAS </t>
  </si>
  <si>
    <t xml:space="preserve">HABILIDADES SOCIAIS </t>
  </si>
  <si>
    <t xml:space="preserve">HABILIDADES MOTORAS </t>
  </si>
  <si>
    <t xml:space="preserve">HABILIDADES FUNCIONAIS </t>
  </si>
  <si>
    <t xml:space="preserve">HABILIDADES COGNITIVAS </t>
  </si>
  <si>
    <t>#</t>
  </si>
  <si>
    <t>TAREFA</t>
  </si>
  <si>
    <t>PONTUAÇÃO</t>
  </si>
  <si>
    <t xml:space="preserve">CONTATO VISUAL </t>
  </si>
  <si>
    <t>RESPOSTA EMOCIONAL</t>
  </si>
  <si>
    <t>MOTOR GLOBAL</t>
  </si>
  <si>
    <t xml:space="preserve">HIGIENE PESSOAL </t>
  </si>
  <si>
    <t xml:space="preserve">ATENÇÃO CONJUNTA </t>
  </si>
  <si>
    <t>A criança olha na direção de um adulto quando chamada pelo nome</t>
  </si>
  <si>
    <t>Identifica emoções básicas diante de figuras (alegria, medo, raiva e tristeza)</t>
  </si>
  <si>
    <t>Senta no chão sem o apoio das mãos</t>
  </si>
  <si>
    <t>Escova os dentes, mesmo que com ajuda física</t>
  </si>
  <si>
    <t>Olha para um objeto apresentado a 30 centímetros de distância</t>
  </si>
  <si>
    <t>Quando chamada pelo nome, vira o rosto para outra pessoa por pelo menos 1 segundo</t>
  </si>
  <si>
    <t>Nomeia emoções básicas diante de figuras (alegria, medo, raiva e tristeza)</t>
  </si>
  <si>
    <t>Diante de uma cadeira tamanho adulto, puxa-a (ou sobe) e senta</t>
  </si>
  <si>
    <t>Lava as mãos (somente com água) antes das refeições, com independência</t>
  </si>
  <si>
    <t>Segue um ponto em deslocamento (ou objeto em movimento) a 30 centímetros de distância</t>
  </si>
  <si>
    <t>Durante uma interação, vira o rosto em direção a outra pessoa por aproximadamente 3 segundos</t>
  </si>
  <si>
    <t>Identifica emoções que uma outra pessoa está demonstrando</t>
  </si>
  <si>
    <t>Sobe escadas sem ajuda física de um adulto</t>
  </si>
  <si>
    <t>Usa sabonete de forma apropriada para lavar as mãos, sem necessidade de ajuda</t>
  </si>
  <si>
    <t>Mantém pelo menos alguns segundos de atenção nas brincadeiras propostas</t>
  </si>
  <si>
    <t>Olha em direção a outra pessoa que está com itens reforçadores à mostra</t>
  </si>
  <si>
    <t>Imita emoções que outra pessoa está demonstrando</t>
  </si>
  <si>
    <t>Pega objetos no chão, inclinando o corpo sem se desequilibrar</t>
  </si>
  <si>
    <t>Escova os dentes, ainda necessitando de instruções e modelo</t>
  </si>
  <si>
    <t>Demonstra interesse por um brinquedo/objeto em posse de outra pessoa</t>
  </si>
  <si>
    <t>Olha na direção de um par quando engajada em alguma brincadeira</t>
  </si>
  <si>
    <t>Nomeia suas próprias emoções (alegria, medo, raiva e tristeza)</t>
  </si>
  <si>
    <t>Desce escadas sem ajuda</t>
  </si>
  <si>
    <t>Penteia os cabelos com independência</t>
  </si>
  <si>
    <t>Quando um par abandona a atividade/brincadeira, a criança convida-o para retornar, incluindo-o novamente</t>
  </si>
  <si>
    <t>Olha na direção de outra pessoa à distância de 3 metros</t>
  </si>
  <si>
    <t>Determina a causa de emoções, diante cenas de desenhos animados</t>
  </si>
  <si>
    <t>Pula com os dois pés juntos (no mesmo local)</t>
  </si>
  <si>
    <t>Seca-se, após o banho, com independência</t>
  </si>
  <si>
    <t>Segue instruções simples durante brincadeiras</t>
  </si>
  <si>
    <t>Olha na direção de outra pessoa à distância de 5 metros</t>
  </si>
  <si>
    <t>Identifica a causa das suas emoções, após episódios que eliciaram essas respostas</t>
  </si>
  <si>
    <t>Impulsiona-se em um balanço com independência</t>
  </si>
  <si>
    <t>Escova os dentes ao menos 3 vezes ao dia, sem necessidade de ajuda</t>
  </si>
  <si>
    <t>Aguarda a resposta do falante, durante pelo menos 30 segundos, sem se dispersar</t>
  </si>
  <si>
    <t>Olha na direção de um par, que está à distância de 5 metros, enquanto engajada em alguma brincadeira</t>
  </si>
  <si>
    <t>Consegue reconhecer dez diferentes emoções e associar as situações do cotidiano</t>
  </si>
  <si>
    <t>Pula de uma altura de 20 centímetros</t>
  </si>
  <si>
    <t>Realiza higiene íntima durante o banho, com independência</t>
  </si>
  <si>
    <t>Mostra ao par algo que viu, aconteceu ou fez</t>
  </si>
  <si>
    <t>Olha na direção de mais de uma pessoa (duas pessoas chamam a criança alternadamente)</t>
  </si>
  <si>
    <t>Diferencia a intensidade das emoções em: baixa, média e alta, a partir de exemplos da sua própria história de vida</t>
  </si>
  <si>
    <t>Dá cambalhota para frente</t>
  </si>
  <si>
    <t>Lava todas as partes do corpo durante o banho, com independência</t>
  </si>
  <si>
    <t>Junta-se à outra pessoa por iniciativa própria</t>
  </si>
  <si>
    <t>Olha na direção de mais de uma pessoa alternadamente, quando engajada em alguma brincadeira</t>
  </si>
  <si>
    <t>Apresenta resposta emocional e conduta esperada em intensidade adequada à situação</t>
  </si>
  <si>
    <t>Equilibra-se em um pé só, por 6 segundos</t>
  </si>
  <si>
    <t>Toma banho sozinha, incluindo abrir/fechar o chuveiro, despir-se, passar sabão e xampu, enxaguar-se, secar-se e vestir suas roupas</t>
  </si>
  <si>
    <t>Permanece engajada, sob instruções dadas a um grupo, durante 10 minutos</t>
  </si>
  <si>
    <t xml:space="preserve">COMUNICAÇÃO ALTERNATIVA </t>
  </si>
  <si>
    <t>IMITAÇÃO</t>
  </si>
  <si>
    <t xml:space="preserve">MOTOR FINO </t>
  </si>
  <si>
    <t>VESTUÁRIO</t>
  </si>
  <si>
    <t xml:space="preserve">COMPORTAMENTO EXPLORATÓRIO </t>
  </si>
  <si>
    <t>Estende a mão para pegar o que deseja</t>
  </si>
  <si>
    <t>Apresenta comportamento imitativo de movimentos motores (levantar, sentar, bater as mãos), mesmo que necessite de ajuda física e verbal</t>
  </si>
  <si>
    <t>Coloca objetos pequenos dentro de um recipiente</t>
  </si>
  <si>
    <t>Retira a calça sozinha</t>
  </si>
  <si>
    <t>Deixa cair e apanha um objeto</t>
  </si>
  <si>
    <t>Aponta para o que deseja, tocando o dedo no objeto</t>
  </si>
  <si>
    <t>Consegue imitar comportamentos simples com o uso de objetos, mesmo que com estímulo e assistência</t>
  </si>
  <si>
    <t>Forma uma bola com uma massa de modelar</t>
  </si>
  <si>
    <t>Retira a camisa sem necessidade de ajuda</t>
  </si>
  <si>
    <t>Descobre um objeto escondido sob um recipiente</t>
  </si>
  <si>
    <t>Aponta a uma distância de aproximadamente 30 centímetros</t>
  </si>
  <si>
    <t>Imita movimentos fonoarticulatórios</t>
  </si>
  <si>
    <t>Usa preensão de pinça para pegar objetos</t>
  </si>
  <si>
    <t>Ajuda a colocar a calça, levantando os pés e puxando a roupa</t>
  </si>
  <si>
    <t>Vira as páginas de um livro para encontrar uma imagem nomeada</t>
  </si>
  <si>
    <t>Aponta espontaneamente para mostrar algo ou fazer pedidos</t>
  </si>
  <si>
    <t>Imita comportamentos de coordenação motora grossa (pular, dançar, correr), sem ajuda</t>
  </si>
  <si>
    <t>Bate palmas</t>
  </si>
  <si>
    <t>Ajuda a colocar a camisa, esticando os braços e puxando a roupa</t>
  </si>
  <si>
    <t>Nota e solicita por um item que está faltando para prosseguir em um jogo ou brincadeira (por exemplo: o pirata do pula-pirata ou uma peça para encaixar)</t>
  </si>
  <si>
    <t>Faz gestos para se comunicar (aponta, "sim", "não", "tchau", senta, bebe)</t>
  </si>
  <si>
    <t>Imita comportamentos simples (bater palmas e emitir sons isolados), sem necessidade de ajuda</t>
  </si>
  <si>
    <t>Coloca 3 aros em uma pequena estaca</t>
  </si>
  <si>
    <t>Coloca o sapato com independência</t>
  </si>
  <si>
    <t>Abre recipientes fechados para ver o que há dentro (pode ser um presente)</t>
  </si>
  <si>
    <t>Consegue utilizar figuras/fotos para fazer pedidos</t>
  </si>
  <si>
    <t>Consegue imitar 3 tarefas simples em sequência</t>
  </si>
  <si>
    <t>Vira trincos e maçanetas para abrir portas</t>
  </si>
  <si>
    <t>Coloca a meia com independência</t>
  </si>
  <si>
    <t>Brinca com uma caixa de areia por no mínimo 3 minutos</t>
  </si>
  <si>
    <t>Utiliza comunicação por figuras, selecionando corretamente a figura correspondente ao pedido (discriminação)</t>
  </si>
  <si>
    <t>Aprende comportamentos básicos de autocuidado por observação (lavar as mãos e escovar os dentes)</t>
  </si>
  <si>
    <t>Dobra um papel ao meio, mesmo que imitando um adulto</t>
  </si>
  <si>
    <t>Abotoa e desabotoa a camisa sem necessidade de ajuda</t>
  </si>
  <si>
    <t>Engaja-se em brincadeiras com tinta, usando os pés e as mãos</t>
  </si>
  <si>
    <t>Seleciona uma figura correta e a entrega para um adulto, que está a 5 metros de distância, para realizar um pedido</t>
  </si>
  <si>
    <t>Aprende brincadeiras e esportes iniciais adequadamente (jogar bola na cesta)</t>
  </si>
  <si>
    <t>Abre garrafas com tampa de rosca</t>
  </si>
  <si>
    <t>Amarra o cadarço sem necessidade de ajuda</t>
  </si>
  <si>
    <t>Explora massinha de modelar por no mínimo 3 minutos</t>
  </si>
  <si>
    <t>Expressa verbos por meio das figuras ("quero", "posso", "está doendo")</t>
  </si>
  <si>
    <t>Imita comportamentos complexos de outra pessoa, relacionados a afazeres do dia a dia (dobrar e guardar a roupa no armário)</t>
  </si>
  <si>
    <t>Consegue colocar 5 pregadores em um cordão</t>
  </si>
  <si>
    <t>Veste a parte inferior (calça, bermuda, saia) sozinha</t>
  </si>
  <si>
    <t xml:space="preserve">Repete um movimento com um brinquedo de ação e reação </t>
  </si>
  <si>
    <t>Expressa sentimentos por meio das figuras ("sinto-me triste/alegre")</t>
  </si>
  <si>
    <t>Aprende novos comportamentos sem ser, especificamente, ensinada a fazê-los – por observação e imitação espontânea</t>
  </si>
  <si>
    <t>Usando tesoura sem ponta, corta uma folha A4 ao meio</t>
  </si>
  <si>
    <t>Veste a parte superior (camisa, camiseta, blusa) sem ajuda</t>
  </si>
  <si>
    <t>Constrói algo com no mínimo 3 blocos de montar</t>
  </si>
  <si>
    <t xml:space="preserve">LINGUAGEM EXPRESSIVA </t>
  </si>
  <si>
    <t xml:space="preserve">TOLERÂNCIA </t>
  </si>
  <si>
    <t xml:space="preserve">INTERAÇÃO COM OBJETOS </t>
  </si>
  <si>
    <t xml:space="preserve">USO DE BANHEIRO </t>
  </si>
  <si>
    <t xml:space="preserve">COMBINAÇÕES </t>
  </si>
  <si>
    <t>Emite algum som com sentido comunicativo</t>
  </si>
  <si>
    <t>Permanece sentada por pelo menos 1 minuto com reforçador</t>
  </si>
  <si>
    <t>Vira páginas de um livro</t>
  </si>
  <si>
    <t>Demonstra incômodo ao fazer xixi/cocô na roupa/fralda</t>
  </si>
  <si>
    <t>Emparelha figuras idênticas quando apresentados 3 pares de figuras, de forma aleatória</t>
  </si>
  <si>
    <t>Emite sons direcionados quando quer alguma coisa</t>
  </si>
  <si>
    <t>Permanece sentada por pelo menos 3 minutos com reforçador</t>
  </si>
  <si>
    <t>Puxa bonecos ou outro brinquedo ao andar</t>
  </si>
  <si>
    <t>Retira a roupa/fralda para fazer xixi/cocô</t>
  </si>
  <si>
    <t>Combina objetos semelhantes quando apresentados 3 pares de objetos, de forma aleatória</t>
  </si>
  <si>
    <t>Consegue imitar sons</t>
  </si>
  <si>
    <t>Permanece sentada por pelo menos 10 minutos com reforçador</t>
  </si>
  <si>
    <t>Constrói uma torre com 4 blocos de montar</t>
  </si>
  <si>
    <t>Faz xixi no troninho quando colocada por um adulto</t>
  </si>
  <si>
    <t>Combina objetos a suas figuras correspondentes quando apresentadas 3 figuras e 3 objetos, de forma aleatória</t>
  </si>
  <si>
    <t>Emite 10 sons diferentes</t>
  </si>
  <si>
    <t>Consegue aguardar pelo menos 30 segundos para receber algo que deseja</t>
  </si>
  <si>
    <t>Utilizando um martelo de brinquedo, prega 5 pinos em seus encaixes</t>
  </si>
  <si>
    <t>Avisa ao adulto a necessidade de fazer xixi</t>
  </si>
  <si>
    <t>Emparelha objetos com a mesma textura (feltros, pelúcias, madeiras)</t>
  </si>
  <si>
    <t>Pede por seus objetos e atividades favoritas</t>
  </si>
  <si>
    <t>Aguarda, sem resistência, por pelo menos 1 minuto por algo que está esperando que aconteça</t>
  </si>
  <si>
    <t>Monta um quebra-cabeça de 3 peças</t>
  </si>
  <si>
    <t>Não faz xixi na cama</t>
  </si>
  <si>
    <t>Emparelha 3 cores</t>
  </si>
  <si>
    <t>Nomeia pessoas familiares</t>
  </si>
  <si>
    <t>Aguarda sentada por pelo menos 3 minutos sem resistência, sem uso de reforçador</t>
  </si>
  <si>
    <t>Pedala um triciclo por no mínimo 3 metros</t>
  </si>
  <si>
    <t>Faz cocô no troninho quando colocada por um adulto</t>
  </si>
  <si>
    <t>Emparelha formas geométricas a suas respectivas figuras</t>
  </si>
  <si>
    <t>Nomeia figuras</t>
  </si>
  <si>
    <t>Realiza as refeições sentada</t>
  </si>
  <si>
    <t>Utilizando um lápis, traça os pontilhados do desenho na folha</t>
  </si>
  <si>
    <t>Avisa ao adulto sobre a necessidade de fazer cocô</t>
  </si>
  <si>
    <t>Combina objetos que se relacionam entre si</t>
  </si>
  <si>
    <t>Nomeia objetos</t>
  </si>
  <si>
    <t>Consegue aguardar a sua vez na fila por pelo menos 5 minutos, sem comportamentos-problema</t>
  </si>
  <si>
    <t>Une três pedaços de massa de modelar</t>
  </si>
  <si>
    <t>Tem a iniciativa de ir ao banheiro para fazer xixi e o realiza sozinha</t>
  </si>
  <si>
    <t>Combina itens por categorias</t>
  </si>
  <si>
    <t>Completa trechos de músicas conhecidas</t>
  </si>
  <si>
    <t>Consegue participar efetivamente de brincadeira em grupo, aguardando sua vez</t>
  </si>
  <si>
    <t>Pedala um triciclo fazendo curvas</t>
  </si>
  <si>
    <t>Tem a iniciativa de ir ao banheiro para fazer cocô e o realiza sozinha</t>
  </si>
  <si>
    <t>Combina palavras escritas a suas imagens correspondentes</t>
  </si>
  <si>
    <t>Faz perguntas e se envolve em conversas simples</t>
  </si>
  <si>
    <t>Lida bem com derrotas e com o término das atividades prazerosas</t>
  </si>
  <si>
    <t>Fecha garrafas com tampa de rosca</t>
  </si>
  <si>
    <t>Faz xixi e cocô sozinha e depois realiza a higiene pessoal</t>
  </si>
  <si>
    <t>Identifica palavras simples escritas e ditadas por um adulto (discriminação auditiva)</t>
  </si>
  <si>
    <t xml:space="preserve">LINGUAGEM RECEPTIVA </t>
  </si>
  <si>
    <t xml:space="preserve">BRINCAR </t>
  </si>
  <si>
    <t xml:space="preserve">INTERAÇÃO COM BOLA </t>
  </si>
  <si>
    <t xml:space="preserve">ALIMENTAÇÃO </t>
  </si>
  <si>
    <t xml:space="preserve">USO DO LÁPIS </t>
  </si>
  <si>
    <t>Segue instruções de 1 passo</t>
  </si>
  <si>
    <t>Engaja-se em brincadeiras corporais (cadê/achou, cócegas)</t>
  </si>
  <si>
    <t>Rola uma bola, imitando um adulto</t>
  </si>
  <si>
    <t>Possui ao menos 10 diferentes alimentos em sua dieta</t>
  </si>
  <si>
    <t>Copia uma linha vertical ou horizontal, imitando um adulto</t>
  </si>
  <si>
    <t>Segue instruções de 2 passos</t>
  </si>
  <si>
    <t>Manuseia e brinca corretamente com brinquedos giratórios ou de movimento (pião, aramados)</t>
  </si>
  <si>
    <t>Pega a bola do chão e levanta com o uso das duas mãos</t>
  </si>
  <si>
    <t>Alimenta-se de sólidos, mesmo que apresente dieta extremamente limitada</t>
  </si>
  <si>
    <t>Copia uma linha diagonal, imitando um adulto</t>
  </si>
  <si>
    <t>Segue sequências de instruções de 3 passos</t>
  </si>
  <si>
    <t>Brinca com jogos de encaixe simples</t>
  </si>
  <si>
    <t>Joga a bola com as duas mãos a uma distância de 2 metros do par</t>
  </si>
  <si>
    <t>Realiza ao menos 1 refeição no dia, ainda que tenha variabilidade alimentar restrita</t>
  </si>
  <si>
    <t>Desenha um círculo (imitando ou com um modelo à vista)</t>
  </si>
  <si>
    <t>Identifica partes do corpo humano</t>
  </si>
  <si>
    <t>Brinca com quebra-cabeças de até 4 peças</t>
  </si>
  <si>
    <t>Chuta uma bola grande que está imóvel a uma distância de 2 metros</t>
  </si>
  <si>
    <t>Realiza ao menos 2 refeições por dia</t>
  </si>
  <si>
    <t>Desenha um quadrado com o uso do lápis (imitando ou com um modelo à vista)</t>
  </si>
  <si>
    <t>Identifica pessoas familiares</t>
  </si>
  <si>
    <t>Brinca cooperativamente, ajudando o par a completar a atividade</t>
  </si>
  <si>
    <t>Chuta a bola quando ela está rolando devagar em sua direção</t>
  </si>
  <si>
    <t>Realiza ao menos 4 refeições por dia, mesmo com forte preferência por alimentos específicos</t>
  </si>
  <si>
    <t>Desenha um triângulo quando solicitado (imitando ou com um modelo à vista)</t>
  </si>
  <si>
    <t>Identifica pelo menos 10 figuras do seu cotidiano</t>
  </si>
  <si>
    <t>Brinca alternando turnos (minha vez/sua vez)</t>
  </si>
  <si>
    <t>Agarra a bola com ambas as mãos quando ela é jogada em sua direção</t>
  </si>
  <si>
    <t>Come alimentos variáveis, mesmo que dê preferência a marcas específicas</t>
  </si>
  <si>
    <t>Pinta um desenho com poucos detalhes, mesmo não respeitando os limites (margens) do desenho</t>
  </si>
  <si>
    <t>Identifica pelo menos 10 objetos presentes no seu dia a dia</t>
  </si>
  <si>
    <t>Usa os brinquedos do playground de forma correta</t>
  </si>
  <si>
    <t>Corre e brinca com a bola em movimento</t>
  </si>
  <si>
    <t>Aceita comidas que diferem em textura e cor das comidas usuais</t>
  </si>
  <si>
    <t>Desenha, copiando o que o adulto está desenhando, por no mínimo 3 minutos</t>
  </si>
  <si>
    <t>Responde perguntas simples ("O que você quer?")</t>
  </si>
  <si>
    <t>Manuseia fantoches e bonecos</t>
  </si>
  <si>
    <t>Chuta a bola firmemente e demonstrando domínio para a direção que deseja, a mais de 5 metros</t>
  </si>
  <si>
    <t>Aceita comidas de múltiplas cores e texturas</t>
  </si>
  <si>
    <t>Pinta um desenho com poucos detalhes, respeitando seus limites (margens)</t>
  </si>
  <si>
    <t>Responde duas perguntas simples ("Qual cor você quer e o que você quer beber?")</t>
  </si>
  <si>
    <t>Engaja-se em brincadeiras de casa, com criação de personagens</t>
  </si>
  <si>
    <t>Arremessa uma bola em uma cesta, com ambas as mãos, a uma distância de 2 metros</t>
  </si>
  <si>
    <t>Experimenta novos alimentos</t>
  </si>
  <si>
    <t>Realiza desenhos simples e reconhecíveis, de forma que a criança indique que os desenhou (casa, pessoa, carro)</t>
  </si>
  <si>
    <t>Responde perguntas complexas ("Qual é o seu time?", "Qual é a sua cor preferida?")</t>
  </si>
  <si>
    <t>Presta atenção em histórias contadas, mesmo que curtas e com uso de materiais concretos</t>
  </si>
  <si>
    <t>Chuta a bola na direção de um gol posicionado a uma distância de 7 metros</t>
  </si>
  <si>
    <t>Apresenta dieta equilibrada e balanceada</t>
  </si>
  <si>
    <t xml:space="preserve">Escreve o seu nome, imitando um adulto ou com um modelo à vista </t>
  </si>
  <si>
    <t>TOTAL</t>
  </si>
  <si>
    <t>LEGENDA DE PONTUAÇÃO</t>
  </si>
  <si>
    <t>PARA CADA HABILIDADE, É NECESSÁRIO ALCANÇAR UM TOTAL 
DE 80 PONTOS; QUANDO SOMADAS, AS HABILIDADES PODEM 
ATINGIR UM TOTAL MÁXIMO DE 400 PONTOS</t>
  </si>
  <si>
    <t>NÃO REALIZA =  0</t>
  </si>
  <si>
    <t>EMERGENTE = 1</t>
  </si>
  <si>
    <t>REALIZA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</si>
</sst>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ptos"/>
      <family val="2"/>
    </font>
    <font>
      <sz val="11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 Black"/>
      <family val="2"/>
    </font>
    <font>
      <b/>
      <sz val="20"/>
      <color theme="0"/>
      <name val="Aptos Black"/>
      <family val="2"/>
    </font>
    <font>
      <sz val="20"/>
      <color theme="1"/>
      <name val="Aptos Black"/>
      <family val="2"/>
    </font>
    <font>
      <b/>
      <sz val="20"/>
      <color theme="1"/>
      <name val="Aptos Black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5AE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rgb="FF0065AE"/>
      </right>
      <top style="thin">
        <color rgb="FF0065AE"/>
      </top>
      <bottom style="thin">
        <color rgb="FF0065AE"/>
      </bottom>
      <diagonal/>
    </border>
    <border>
      <left/>
      <right/>
      <top style="thin">
        <color rgb="FF0065AE"/>
      </top>
      <bottom style="thin">
        <color rgb="FF0065AE"/>
      </bottom>
      <diagonal/>
    </border>
    <border>
      <left style="medium">
        <color rgb="FF0065AE"/>
      </left>
      <right/>
      <top style="medium">
        <color rgb="FF0065AE"/>
      </top>
      <bottom style="medium">
        <color rgb="FF0065AE"/>
      </bottom>
      <diagonal/>
    </border>
    <border>
      <left/>
      <right/>
      <top style="medium">
        <color rgb="FF0065AE"/>
      </top>
      <bottom style="medium">
        <color rgb="FF0065AE"/>
      </bottom>
      <diagonal/>
    </border>
    <border>
      <left/>
      <right style="medium">
        <color rgb="FF0065AE"/>
      </right>
      <top style="medium">
        <color rgb="FF0065AE"/>
      </top>
      <bottom style="medium">
        <color rgb="FF0065AE"/>
      </bottom>
      <diagonal/>
    </border>
    <border>
      <left style="medium">
        <color rgb="FF0065AE"/>
      </left>
      <right style="thin">
        <color theme="4" tint="0.79998168889431442"/>
      </right>
      <top style="medium">
        <color rgb="FF0065AE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 style="medium">
        <color rgb="FF0065AE"/>
      </top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medium">
        <color rgb="FF0065AE"/>
      </right>
      <top style="thin">
        <color theme="4" tint="0.79998168889431442"/>
      </top>
      <bottom style="medium">
        <color rgb="FF0065AE"/>
      </bottom>
      <diagonal/>
    </border>
    <border>
      <left/>
      <right/>
      <top style="medium">
        <color rgb="FF0065AE"/>
      </top>
      <bottom/>
      <diagonal/>
    </border>
    <border>
      <left/>
      <right/>
      <top/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/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medium">
        <color rgb="FF0065AE"/>
      </left>
      <right/>
      <top style="medium">
        <color rgb="FF0065AE"/>
      </top>
      <bottom/>
      <diagonal/>
    </border>
    <border>
      <left/>
      <right style="medium">
        <color rgb="FF0065AE"/>
      </right>
      <top style="medium">
        <color rgb="FF0065AE"/>
      </top>
      <bottom/>
      <diagonal/>
    </border>
    <border>
      <left/>
      <right style="medium">
        <color rgb="FF0065AE"/>
      </right>
      <top/>
      <bottom/>
      <diagonal/>
    </border>
    <border>
      <left/>
      <right style="medium">
        <color rgb="FF0065AE"/>
      </right>
      <top/>
      <bottom style="medium">
        <color rgb="FF0065AE"/>
      </bottom>
      <diagonal/>
    </border>
    <border>
      <left style="thin">
        <color theme="4" tint="0.79998168889431442"/>
      </left>
      <right style="medium">
        <color rgb="FF0065AE"/>
      </right>
      <top style="medium">
        <color rgb="FF0065AE"/>
      </top>
      <bottom style="medium">
        <color rgb="FF0065AE"/>
      </bottom>
      <diagonal/>
    </border>
    <border>
      <left/>
      <right style="thin">
        <color theme="4" tint="0.79998168889431442"/>
      </right>
      <top style="medium">
        <color rgb="FF0065AE"/>
      </top>
      <bottom style="medium">
        <color rgb="FF0065AE"/>
      </bottom>
      <diagonal/>
    </border>
    <border>
      <left style="thin">
        <color rgb="FF0065AE"/>
      </left>
      <right/>
      <top/>
      <bottom/>
      <diagonal/>
    </border>
    <border>
      <left style="medium">
        <color rgb="FF0065AE"/>
      </left>
      <right/>
      <top style="medium">
        <color rgb="FF0065AE"/>
      </top>
      <bottom style="thin">
        <color rgb="FF0065AE"/>
      </bottom>
      <diagonal/>
    </border>
    <border>
      <left/>
      <right/>
      <top style="medium">
        <color rgb="FF0065AE"/>
      </top>
      <bottom style="thin">
        <color rgb="FF0065AE"/>
      </bottom>
      <diagonal/>
    </border>
    <border>
      <left/>
      <right style="thin">
        <color rgb="FF0065AE"/>
      </right>
      <top style="medium">
        <color rgb="FF0065AE"/>
      </top>
      <bottom style="thin">
        <color rgb="FF0065AE"/>
      </bottom>
      <diagonal/>
    </border>
    <border>
      <left style="medium">
        <color rgb="FF0065AE"/>
      </left>
      <right/>
      <top style="thin">
        <color rgb="FF0065AE"/>
      </top>
      <bottom style="thin">
        <color rgb="FF0065AE"/>
      </bottom>
      <diagonal/>
    </border>
    <border>
      <left style="medium">
        <color rgb="FF0065AE"/>
      </left>
      <right/>
      <top style="thin">
        <color rgb="FF0065AE"/>
      </top>
      <bottom style="medium">
        <color rgb="FF0065AE"/>
      </bottom>
      <diagonal/>
    </border>
    <border>
      <left/>
      <right/>
      <top style="thin">
        <color rgb="FF0065AE"/>
      </top>
      <bottom style="medium">
        <color rgb="FF0065AE"/>
      </bottom>
      <diagonal/>
    </border>
    <border>
      <left/>
      <right style="thin">
        <color rgb="FF0065AE"/>
      </right>
      <top style="thin">
        <color rgb="FF0065AE"/>
      </top>
      <bottom style="medium">
        <color rgb="FF0065AE"/>
      </bottom>
      <diagonal/>
    </border>
    <border>
      <left style="thin">
        <color rgb="FF0065AE"/>
      </left>
      <right/>
      <top style="medium">
        <color rgb="FF0065AE"/>
      </top>
      <bottom/>
      <diagonal/>
    </border>
    <border>
      <left style="thin">
        <color rgb="FF0065AE"/>
      </left>
      <right/>
      <top/>
      <bottom style="medium">
        <color rgb="FF0065AE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rgb="FF0065AE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79998168889431442"/>
      </left>
      <right style="medium">
        <color rgb="FF0065AE"/>
      </right>
      <top/>
      <bottom/>
      <diagonal/>
    </border>
    <border>
      <left style="medium">
        <color rgb="FF0065AE"/>
      </left>
      <right style="thin">
        <color theme="4" tint="0.79998168889431442"/>
      </right>
      <top/>
      <bottom/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rgb="FF0065AE"/>
      </bottom>
      <diagonal/>
    </border>
    <border>
      <left/>
      <right style="medium">
        <color rgb="FF0065AE"/>
      </right>
      <top style="thin">
        <color theme="4" tint="0.79998168889431442"/>
      </top>
      <bottom style="thin">
        <color rgb="FF0065AE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rgb="FF0065AE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rgb="FF0065AE"/>
      </right>
      <top style="thin">
        <color theme="4" tint="0.79998168889431442"/>
      </top>
      <bottom style="medium">
        <color rgb="FF0065AE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/>
      <right style="medium">
        <color rgb="FF0065AE"/>
      </right>
      <top style="medium">
        <color rgb="FF0065AE"/>
      </top>
      <bottom style="thin">
        <color theme="4" tint="0.79998168889431442"/>
      </bottom>
      <diagonal/>
    </border>
    <border>
      <left style="thin">
        <color rgb="FF0065AE"/>
      </left>
      <right/>
      <top style="medium">
        <color rgb="FF0065AE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rgb="FF0065AE"/>
      </top>
      <bottom/>
      <diagonal/>
    </border>
    <border>
      <left/>
      <right style="medium">
        <color rgb="FF0065AE"/>
      </right>
      <top style="thin">
        <color rgb="FF0065AE"/>
      </top>
      <bottom/>
      <diagonal/>
    </border>
    <border>
      <left/>
      <right style="thin">
        <color theme="4" tint="0.79998168889431442"/>
      </right>
      <top style="thin">
        <color rgb="FF0065AE"/>
      </top>
      <bottom/>
      <diagonal/>
    </border>
    <border>
      <left style="medium">
        <color rgb="FF0065AE"/>
      </left>
      <right/>
      <top style="medium">
        <color rgb="FF0065AE"/>
      </top>
      <bottom style="thin">
        <color theme="4" tint="0.79998168889431442"/>
      </bottom>
      <diagonal/>
    </border>
    <border>
      <left/>
      <right style="thin">
        <color rgb="FF0065AE"/>
      </right>
      <top style="medium">
        <color rgb="FF0065AE"/>
      </top>
      <bottom style="thin">
        <color theme="4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9" fontId="5" fillId="0" borderId="10" xfId="1" applyFont="1" applyBorder="1" applyAlignment="1">
      <alignment horizontal="center" vertical="center" wrapText="1"/>
    </xf>
    <xf numFmtId="9" fontId="5" fillId="0" borderId="13" xfId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5" fillId="3" borderId="23" xfId="0" applyFont="1" applyFill="1" applyBorder="1" applyAlignment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14" fontId="6" fillId="3" borderId="40" xfId="0" applyNumberFormat="1" applyFont="1" applyFill="1" applyBorder="1" applyAlignment="1">
      <alignment horizontal="center" vertical="center" wrapText="1"/>
    </xf>
    <xf numFmtId="14" fontId="6" fillId="3" borderId="4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14" fontId="4" fillId="2" borderId="56" xfId="0" applyNumberFormat="1" applyFont="1" applyFill="1" applyBorder="1" applyAlignment="1">
      <alignment horizontal="center" vertical="center" wrapText="1"/>
    </xf>
    <xf numFmtId="14" fontId="4" fillId="2" borderId="57" xfId="0" applyNumberFormat="1" applyFont="1" applyFill="1" applyBorder="1" applyAlignment="1">
      <alignment horizontal="center" vertical="center" wrapText="1"/>
    </xf>
    <xf numFmtId="14" fontId="4" fillId="2" borderId="52" xfId="0" applyNumberFormat="1" applyFont="1" applyFill="1" applyBorder="1" applyAlignment="1">
      <alignment horizontal="center" vertical="center" wrapText="1"/>
    </xf>
    <xf numFmtId="14" fontId="4" fillId="2" borderId="51" xfId="0" applyNumberFormat="1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5" fillId="0" borderId="48" xfId="0" applyFont="1" applyBorder="1" applyAlignment="1" applyProtection="1">
      <alignment horizontal="center" vertical="center" wrapText="1"/>
      <protection locked="0"/>
    </xf>
    <xf numFmtId="0" fontId="5" fillId="0" borderId="38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50" xfId="0" applyFont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4" fontId="6" fillId="3" borderId="53" xfId="0" applyNumberFormat="1" applyFont="1" applyFill="1" applyBorder="1" applyAlignment="1">
      <alignment horizontal="center" vertical="center" wrapText="1"/>
    </xf>
    <xf numFmtId="14" fontId="6" fillId="3" borderId="54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 applyProtection="1">
      <alignment horizontal="left" vertical="center" wrapText="1"/>
      <protection locked="0"/>
    </xf>
    <xf numFmtId="14" fontId="6" fillId="0" borderId="6" xfId="0" applyNumberFormat="1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14" fontId="6" fillId="3" borderId="55" xfId="0" applyNumberFormat="1" applyFont="1" applyFill="1" applyBorder="1" applyAlignment="1">
      <alignment horizontal="center" vertical="center" wrapText="1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4" fillId="3" borderId="3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right" vertical="center" wrapText="1"/>
    </xf>
    <xf numFmtId="0" fontId="15" fillId="3" borderId="5" xfId="0" applyFont="1" applyFill="1" applyBorder="1" applyAlignment="1">
      <alignment horizontal="right" vertical="center" wrapText="1"/>
    </xf>
    <xf numFmtId="0" fontId="15" fillId="3" borderId="24" xfId="0" applyFont="1" applyFill="1" applyBorder="1" applyAlignment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65AE"/>
      <color rgb="FFD5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Planilha1!$C$9</c:f>
              <c:strCache>
                <c:ptCount val="1"/>
                <c:pt idx="0">
                  <c:v>02/01/2024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Planilha1!$D$10:$D$14</c:f>
              <c:numCache>
                <c:formatCode>0%</c:formatCode>
                <c:ptCount val="5"/>
                <c:pt idx="0">
                  <c:v>0.75</c:v>
                </c:pt>
                <c:pt idx="1">
                  <c:v>0.5625</c:v>
                </c:pt>
                <c:pt idx="2">
                  <c:v>0.6</c:v>
                </c:pt>
                <c:pt idx="3">
                  <c:v>0.6</c:v>
                </c:pt>
                <c:pt idx="4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49-474B-953A-ED9D2F461760}"/>
            </c:ext>
          </c:extLst>
        </c:ser>
        <c:ser>
          <c:idx val="2"/>
          <c:order val="1"/>
          <c:tx>
            <c:strRef>
              <c:f>Planilha1!$E$9</c:f>
              <c:strCache>
                <c:ptCount val="1"/>
                <c:pt idx="0">
                  <c:v>05/06/2024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Planilha1!$F$10:$F$14</c:f>
              <c:numCache>
                <c:formatCode>0%</c:formatCode>
                <c:ptCount val="5"/>
                <c:pt idx="0">
                  <c:v>0.76249999999999996</c:v>
                </c:pt>
                <c:pt idx="1">
                  <c:v>0.57499999999999996</c:v>
                </c:pt>
                <c:pt idx="2">
                  <c:v>0.61250000000000004</c:v>
                </c:pt>
                <c:pt idx="3">
                  <c:v>0.6</c:v>
                </c:pt>
                <c:pt idx="4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B49-474B-953A-ED9D2F461760}"/>
            </c:ext>
          </c:extLst>
        </c:ser>
        <c:ser>
          <c:idx val="3"/>
          <c:order val="2"/>
          <c:tx>
            <c:strRef>
              <c:f>Planilha1!$G$9</c:f>
              <c:strCache>
                <c:ptCount val="1"/>
                <c:pt idx="0">
                  <c:v>07/11/2024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93-4920-A503-8D1614F7D2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93-4920-A503-8D1614F7D26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93-4920-A503-8D1614F7D26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93-4920-A503-8D1614F7D26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93-4920-A503-8D1614F7D26D}"/>
              </c:ext>
            </c:extLst>
          </c:dPt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Planilha1!$H$10:$H$14</c:f>
              <c:numCache>
                <c:formatCode>0%</c:formatCode>
                <c:ptCount val="5"/>
                <c:pt idx="0">
                  <c:v>0.77500000000000002</c:v>
                </c:pt>
                <c:pt idx="1">
                  <c:v>0.6875</c:v>
                </c:pt>
                <c:pt idx="2">
                  <c:v>0.4375</c:v>
                </c:pt>
                <c:pt idx="3">
                  <c:v>0.6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49-474B-953A-ED9D2F46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6144"/>
        <c:axId val="393636800"/>
        <c:extLst/>
      </c:barChart>
      <c:catAx>
        <c:axId val="3936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800"/>
        <c:crosses val="autoZero"/>
        <c:auto val="1"/>
        <c:lblAlgn val="ctr"/>
        <c:lblOffset val="100"/>
        <c:noMultiLvlLbl val="0"/>
      </c:catAx>
      <c:valAx>
        <c:axId val="3936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Planilha1!$C$9</c:f>
              <c:strCache>
                <c:ptCount val="1"/>
                <c:pt idx="0">
                  <c:v>02/01/2024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Planilha1!$D$10:$D$14</c:f>
              <c:numCache>
                <c:formatCode>0%</c:formatCode>
                <c:ptCount val="5"/>
                <c:pt idx="0">
                  <c:v>0.75</c:v>
                </c:pt>
                <c:pt idx="1">
                  <c:v>0.5625</c:v>
                </c:pt>
                <c:pt idx="2">
                  <c:v>0.6</c:v>
                </c:pt>
                <c:pt idx="3">
                  <c:v>0.6</c:v>
                </c:pt>
                <c:pt idx="4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4-40D7-958A-DD51C9C70E9E}"/>
            </c:ext>
          </c:extLst>
        </c:ser>
        <c:ser>
          <c:idx val="2"/>
          <c:order val="1"/>
          <c:tx>
            <c:strRef>
              <c:f>Planilha1!$E$9</c:f>
              <c:strCache>
                <c:ptCount val="1"/>
                <c:pt idx="0">
                  <c:v>05/06/2024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Planilha1!$F$10:$F$14</c:f>
              <c:numCache>
                <c:formatCode>0%</c:formatCode>
                <c:ptCount val="5"/>
                <c:pt idx="0">
                  <c:v>0.76249999999999996</c:v>
                </c:pt>
                <c:pt idx="1">
                  <c:v>0.57499999999999996</c:v>
                </c:pt>
                <c:pt idx="2">
                  <c:v>0.61250000000000004</c:v>
                </c:pt>
                <c:pt idx="3">
                  <c:v>0.6</c:v>
                </c:pt>
                <c:pt idx="4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4-40D7-958A-DD51C9C70E9E}"/>
            </c:ext>
          </c:extLst>
        </c:ser>
        <c:ser>
          <c:idx val="3"/>
          <c:order val="2"/>
          <c:tx>
            <c:strRef>
              <c:f>Planilha1!$G$9</c:f>
              <c:strCache>
                <c:ptCount val="1"/>
                <c:pt idx="0">
                  <c:v>07/11/2024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D4-40D7-958A-DD51C9C70E9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D4-40D7-958A-DD51C9C70E9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D4-40D7-958A-DD51C9C70E9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D4-40D7-958A-DD51C9C70E9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D4-40D7-958A-DD51C9C70E9E}"/>
              </c:ext>
            </c:extLst>
          </c:dPt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Planilha1!$H$10:$H$14</c:f>
              <c:numCache>
                <c:formatCode>0%</c:formatCode>
                <c:ptCount val="5"/>
                <c:pt idx="0">
                  <c:v>0.77500000000000002</c:v>
                </c:pt>
                <c:pt idx="1">
                  <c:v>0.6875</c:v>
                </c:pt>
                <c:pt idx="2">
                  <c:v>0.4375</c:v>
                </c:pt>
                <c:pt idx="3">
                  <c:v>0.6</c:v>
                </c:pt>
                <c:pt idx="4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D4-40D7-958A-DD51C9C70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636144"/>
        <c:axId val="393636800"/>
      </c:lineChart>
      <c:catAx>
        <c:axId val="3936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800"/>
        <c:crosses val="autoZero"/>
        <c:auto val="1"/>
        <c:lblAlgn val="ctr"/>
        <c:lblOffset val="100"/>
        <c:noMultiLvlLbl val="0"/>
      </c:catAx>
      <c:valAx>
        <c:axId val="3936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2156107</xdr:colOff>
      <xdr:row>6</xdr:row>
      <xdr:rowOff>117397</xdr:rowOff>
    </xdr:from>
    <xdr:to>
      <xdr:col>26</xdr:col>
      <xdr:colOff>339446</xdr:colOff>
      <xdr:row>9</xdr:row>
      <xdr:rowOff>142376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3BCA54C7-6489-B21C-16EE-D9AAECA3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070062" y="1953124"/>
          <a:ext cx="3361475" cy="890888"/>
        </a:xfrm>
        <a:prstGeom prst="rect">
          <a:avLst/>
        </a:prstGeom>
      </xdr:spPr>
    </xdr:pic>
    <xdr:clientData/>
  </xdr:twoCellAnchor>
  <xdr:twoCellAnchor>
    <xdr:from>
      <xdr:col>8</xdr:col>
      <xdr:colOff>301955</xdr:colOff>
      <xdr:row>2</xdr:row>
      <xdr:rowOff>1979</xdr:rowOff>
    </xdr:from>
    <xdr:to>
      <xdr:col>15</xdr:col>
      <xdr:colOff>369188</xdr:colOff>
      <xdr:row>13</xdr:row>
      <xdr:rowOff>212813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67A79-B007-4874-A0EE-51DCA2D4E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644909</xdr:colOff>
      <xdr:row>2</xdr:row>
      <xdr:rowOff>3871</xdr:rowOff>
    </xdr:from>
    <xdr:to>
      <xdr:col>22</xdr:col>
      <xdr:colOff>1654926</xdr:colOff>
      <xdr:row>13</xdr:row>
      <xdr:rowOff>212813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3A131E-CE21-46FB-835F-8ADB72533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F7A-C7CE-45C8-8845-F21BFBDB6A07}">
  <dimension ref="A1:AB68"/>
  <sheetViews>
    <sheetView showGridLines="0" tabSelected="1" zoomScaleNormal="100" workbookViewId="0">
      <selection activeCell="B3" sqref="B3:H3"/>
    </sheetView>
  </sheetViews>
  <sheetFormatPr defaultColWidth="8.81640625" defaultRowHeight="14.5" x14ac:dyDescent="0.35"/>
  <cols>
    <col min="1" max="1" width="12.7265625" style="11" customWidth="1"/>
    <col min="2" max="2" width="50.7265625" style="11" customWidth="1"/>
    <col min="3" max="7" width="12.7265625" style="27" customWidth="1"/>
    <col min="8" max="9" width="12.7265625" style="11" customWidth="1"/>
    <col min="10" max="10" width="50.7265625" style="11" customWidth="1"/>
    <col min="11" max="13" width="24.7265625" style="11" customWidth="1"/>
    <col min="14" max="14" width="12.7265625" style="11" customWidth="1"/>
    <col min="15" max="15" width="50.7265625" style="11" customWidth="1"/>
    <col min="16" max="18" width="24.7265625" style="11" customWidth="1"/>
    <col min="19" max="19" width="12.7265625" style="11" customWidth="1"/>
    <col min="20" max="20" width="50.7265625" style="11" customWidth="1"/>
    <col min="21" max="23" width="24.7265625" style="11" customWidth="1"/>
    <col min="24" max="24" width="12.7265625" style="11" customWidth="1"/>
    <col min="25" max="25" width="50.7265625" style="11" customWidth="1"/>
    <col min="26" max="28" width="24.7265625" style="11" customWidth="1"/>
    <col min="29" max="16384" width="8.81640625" style="11"/>
  </cols>
  <sheetData>
    <row r="1" spans="1:28" s="10" customFormat="1" ht="49.9" customHeight="1" x14ac:dyDescent="0.6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 spans="1:28" ht="19.899999999999999" customHeight="1" thickBot="1" x14ac:dyDescent="0.4">
      <c r="A2" s="1"/>
      <c r="B2" s="1"/>
      <c r="C2" s="26"/>
      <c r="D2" s="26"/>
      <c r="E2" s="26"/>
      <c r="F2" s="26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9.899999999999999" customHeight="1" thickBot="1" x14ac:dyDescent="0.4">
      <c r="A3" s="33" t="s">
        <v>1</v>
      </c>
      <c r="B3" s="78" t="s">
        <v>2</v>
      </c>
      <c r="C3" s="78"/>
      <c r="D3" s="78"/>
      <c r="E3" s="78"/>
      <c r="F3" s="78"/>
      <c r="G3" s="78"/>
      <c r="H3" s="79"/>
      <c r="I3" s="30"/>
    </row>
    <row r="4" spans="1:28" ht="19.899999999999999" customHeight="1" thickBot="1" x14ac:dyDescent="0.4">
      <c r="A4" s="33" t="s">
        <v>3</v>
      </c>
      <c r="B4" s="78" t="s">
        <v>4</v>
      </c>
      <c r="C4" s="78"/>
      <c r="D4" s="78"/>
      <c r="E4" s="78"/>
      <c r="F4" s="78"/>
      <c r="G4" s="78"/>
      <c r="H4" s="79"/>
      <c r="I4" s="30"/>
    </row>
    <row r="5" spans="1:28" ht="19.899999999999999" customHeight="1" thickBot="1" x14ac:dyDescent="0.4">
      <c r="A5" s="33" t="s">
        <v>5</v>
      </c>
      <c r="B5" s="76">
        <v>45293</v>
      </c>
      <c r="C5" s="76"/>
      <c r="D5" s="76"/>
      <c r="E5" s="76"/>
      <c r="F5" s="76"/>
      <c r="G5" s="76"/>
      <c r="H5" s="77"/>
      <c r="I5" s="30"/>
    </row>
    <row r="6" spans="1:28" ht="19.899999999999999" customHeight="1" thickBot="1" x14ac:dyDescent="0.4">
      <c r="A6" s="33" t="s">
        <v>6</v>
      </c>
      <c r="B6" s="76">
        <v>45448</v>
      </c>
      <c r="C6" s="76"/>
      <c r="D6" s="76"/>
      <c r="E6" s="76"/>
      <c r="F6" s="76"/>
      <c r="G6" s="76"/>
      <c r="H6" s="77"/>
      <c r="I6" s="30"/>
    </row>
    <row r="7" spans="1:28" ht="19.899999999999999" customHeight="1" thickBot="1" x14ac:dyDescent="0.4">
      <c r="A7" s="33" t="s">
        <v>7</v>
      </c>
      <c r="B7" s="76">
        <v>45603</v>
      </c>
      <c r="C7" s="76"/>
      <c r="D7" s="76"/>
      <c r="E7" s="76"/>
      <c r="F7" s="76"/>
      <c r="G7" s="76"/>
      <c r="H7" s="77"/>
      <c r="I7" s="30"/>
    </row>
    <row r="8" spans="1:28" ht="19.899999999999999" customHeight="1" thickBot="1" x14ac:dyDescent="0.4"/>
    <row r="9" spans="1:28" ht="30" customHeight="1" x14ac:dyDescent="0.35">
      <c r="A9" s="66" t="s">
        <v>8</v>
      </c>
      <c r="B9" s="67"/>
      <c r="C9" s="42">
        <f>B5</f>
        <v>45293</v>
      </c>
      <c r="D9" s="43"/>
      <c r="E9" s="44">
        <f>B6</f>
        <v>45448</v>
      </c>
      <c r="F9" s="43"/>
      <c r="G9" s="44">
        <f>B7</f>
        <v>45603</v>
      </c>
      <c r="H9" s="45"/>
      <c r="I9" s="31"/>
      <c r="J9" s="2"/>
      <c r="K9" s="2"/>
      <c r="L9" s="2"/>
      <c r="M9" s="12"/>
      <c r="N9" s="12"/>
      <c r="O9" s="2"/>
      <c r="P9" s="2"/>
      <c r="Q9" s="2"/>
      <c r="R9" s="12"/>
      <c r="S9" s="12"/>
      <c r="T9" s="2"/>
      <c r="U9" s="2"/>
      <c r="V9" s="2"/>
      <c r="W9" s="12"/>
      <c r="X9" s="2"/>
      <c r="Y9" s="2"/>
      <c r="Z9" s="2"/>
      <c r="AA9" s="2"/>
      <c r="AB9" s="12"/>
    </row>
    <row r="10" spans="1:28" ht="19.899999999999999" customHeight="1" x14ac:dyDescent="0.35">
      <c r="A10" s="68" t="s">
        <v>9</v>
      </c>
      <c r="B10" s="69"/>
      <c r="C10" s="7">
        <f>C63</f>
        <v>60</v>
      </c>
      <c r="D10" s="13">
        <f>C10/80</f>
        <v>0.75</v>
      </c>
      <c r="E10" s="28">
        <f>E63</f>
        <v>61</v>
      </c>
      <c r="F10" s="13">
        <f>E10/80</f>
        <v>0.76249999999999996</v>
      </c>
      <c r="G10" s="28">
        <f>G63</f>
        <v>62</v>
      </c>
      <c r="H10" s="13">
        <f>G10/80</f>
        <v>0.77500000000000002</v>
      </c>
      <c r="I10" s="32"/>
      <c r="J10" s="2"/>
      <c r="K10" s="2"/>
      <c r="L10" s="2"/>
      <c r="M10" s="12"/>
      <c r="N10" s="12"/>
      <c r="O10" s="2"/>
      <c r="P10" s="2"/>
      <c r="Q10" s="2"/>
      <c r="R10" s="12"/>
      <c r="S10" s="12"/>
      <c r="T10" s="2"/>
      <c r="U10" s="2"/>
      <c r="V10" s="2"/>
      <c r="W10" s="12"/>
      <c r="X10" s="2"/>
      <c r="Y10" s="2"/>
      <c r="Z10" s="2"/>
      <c r="AA10" s="2"/>
      <c r="AB10" s="12"/>
    </row>
    <row r="11" spans="1:28" ht="19.899999999999999" customHeight="1" x14ac:dyDescent="0.35">
      <c r="A11" s="68" t="s">
        <v>10</v>
      </c>
      <c r="B11" s="69"/>
      <c r="C11" s="7">
        <f>K63</f>
        <v>45</v>
      </c>
      <c r="D11" s="13">
        <f>C11/80</f>
        <v>0.5625</v>
      </c>
      <c r="E11" s="28">
        <f>L63</f>
        <v>46</v>
      </c>
      <c r="F11" s="13">
        <f>E11/80</f>
        <v>0.57499999999999996</v>
      </c>
      <c r="G11" s="28">
        <f>M63</f>
        <v>55</v>
      </c>
      <c r="H11" s="13">
        <f>G11/80</f>
        <v>0.6875</v>
      </c>
      <c r="I11" s="32"/>
      <c r="J11" s="2"/>
      <c r="K11" s="2"/>
      <c r="L11" s="2"/>
      <c r="M11" s="12"/>
      <c r="N11" s="12"/>
      <c r="O11" s="2"/>
      <c r="P11" s="2"/>
      <c r="Q11" s="2"/>
      <c r="R11" s="12"/>
      <c r="S11" s="12"/>
      <c r="T11" s="2"/>
      <c r="U11" s="2"/>
      <c r="V11" s="2"/>
      <c r="W11" s="12"/>
      <c r="X11" s="2"/>
      <c r="Y11" s="2"/>
      <c r="Z11" s="2"/>
      <c r="AA11" s="2"/>
      <c r="AB11" s="12"/>
    </row>
    <row r="12" spans="1:28" ht="19.899999999999999" customHeight="1" x14ac:dyDescent="0.35">
      <c r="A12" s="68" t="s">
        <v>11</v>
      </c>
      <c r="B12" s="69"/>
      <c r="C12" s="7">
        <f>P63</f>
        <v>48</v>
      </c>
      <c r="D12" s="13">
        <f>C12/80</f>
        <v>0.6</v>
      </c>
      <c r="E12" s="28">
        <f>Q63</f>
        <v>49</v>
      </c>
      <c r="F12" s="13">
        <f>E12/80</f>
        <v>0.61250000000000004</v>
      </c>
      <c r="G12" s="28">
        <f>R63</f>
        <v>35</v>
      </c>
      <c r="H12" s="13">
        <f>G12/80</f>
        <v>0.4375</v>
      </c>
      <c r="I12" s="32"/>
      <c r="J12" s="2"/>
      <c r="K12" s="2"/>
      <c r="L12" s="2"/>
      <c r="M12" s="12"/>
      <c r="N12" s="12"/>
      <c r="O12" s="2"/>
      <c r="P12" s="2"/>
      <c r="Q12" s="2"/>
      <c r="R12" s="12"/>
      <c r="S12" s="12"/>
      <c r="T12" s="2"/>
      <c r="U12" s="2"/>
      <c r="V12" s="2"/>
      <c r="W12" s="12"/>
      <c r="X12" s="2"/>
      <c r="Y12" s="2"/>
      <c r="Z12" s="2"/>
      <c r="AA12" s="2"/>
      <c r="AB12" s="12"/>
    </row>
    <row r="13" spans="1:28" ht="19.899999999999999" customHeight="1" x14ac:dyDescent="0.35">
      <c r="A13" s="68" t="s">
        <v>12</v>
      </c>
      <c r="B13" s="69"/>
      <c r="C13" s="7">
        <f>U63</f>
        <v>48</v>
      </c>
      <c r="D13" s="13">
        <f>C13/80</f>
        <v>0.6</v>
      </c>
      <c r="E13" s="28">
        <f>V63</f>
        <v>48</v>
      </c>
      <c r="F13" s="13">
        <f>E13/80</f>
        <v>0.6</v>
      </c>
      <c r="G13" s="28">
        <f>W63</f>
        <v>48</v>
      </c>
      <c r="H13" s="13">
        <f>G13/80</f>
        <v>0.6</v>
      </c>
      <c r="I13" s="32"/>
      <c r="J13" s="2"/>
      <c r="K13" s="2"/>
      <c r="L13" s="2"/>
      <c r="M13" s="12"/>
      <c r="N13" s="12"/>
      <c r="O13" s="2"/>
      <c r="P13" s="2"/>
      <c r="Q13" s="2"/>
      <c r="R13" s="12"/>
      <c r="S13" s="12"/>
      <c r="T13" s="2"/>
      <c r="U13" s="2"/>
      <c r="V13" s="2"/>
      <c r="W13" s="12"/>
      <c r="X13" s="2"/>
      <c r="Y13" s="2"/>
      <c r="Z13" s="2"/>
      <c r="AA13" s="2"/>
      <c r="AB13" s="12"/>
    </row>
    <row r="14" spans="1:28" ht="19.899999999999999" customHeight="1" thickBot="1" x14ac:dyDescent="0.4">
      <c r="A14" s="71" t="s">
        <v>13</v>
      </c>
      <c r="B14" s="72"/>
      <c r="C14" s="8">
        <f>Z63</f>
        <v>50</v>
      </c>
      <c r="D14" s="14">
        <f>C14/80</f>
        <v>0.625</v>
      </c>
      <c r="E14" s="29">
        <f>AA63</f>
        <v>50</v>
      </c>
      <c r="F14" s="14">
        <f>E14/80</f>
        <v>0.625</v>
      </c>
      <c r="G14" s="29">
        <f>AB63</f>
        <v>70</v>
      </c>
      <c r="H14" s="14">
        <f>G14/80</f>
        <v>0.875</v>
      </c>
      <c r="I14" s="32"/>
      <c r="J14" s="2"/>
      <c r="K14" s="2"/>
      <c r="L14" s="2"/>
      <c r="M14" s="12"/>
      <c r="N14" s="12"/>
      <c r="O14" s="2"/>
      <c r="P14" s="2"/>
      <c r="Q14" s="2"/>
      <c r="R14" s="12"/>
      <c r="S14" s="12"/>
      <c r="T14" s="2"/>
      <c r="U14" s="2"/>
      <c r="V14" s="2"/>
      <c r="W14" s="12"/>
      <c r="X14" s="2"/>
      <c r="Y14" s="2"/>
      <c r="Z14" s="2"/>
      <c r="AA14" s="2"/>
      <c r="AB14" s="12"/>
    </row>
    <row r="15" spans="1:28" ht="19.899999999999999" customHeight="1" thickBot="1" x14ac:dyDescent="0.4">
      <c r="A15" s="15"/>
      <c r="B15" s="15"/>
      <c r="C15" s="12"/>
      <c r="D15" s="12"/>
      <c r="E15" s="12"/>
      <c r="F15" s="12"/>
      <c r="G15" s="12"/>
      <c r="H15" s="12"/>
      <c r="I15" s="16"/>
      <c r="J15" s="2"/>
      <c r="K15" s="2"/>
      <c r="L15" s="2"/>
      <c r="M15" s="12"/>
      <c r="N15" s="12"/>
      <c r="O15" s="2"/>
      <c r="P15" s="2"/>
      <c r="Q15" s="2"/>
      <c r="R15" s="12"/>
      <c r="S15" s="12"/>
      <c r="T15" s="2"/>
      <c r="U15" s="2"/>
      <c r="V15" s="2"/>
      <c r="W15" s="12"/>
      <c r="X15" s="2"/>
      <c r="Y15" s="2"/>
      <c r="Z15" s="2"/>
      <c r="AA15" s="2"/>
      <c r="AB15" s="12"/>
    </row>
    <row r="16" spans="1:28" s="10" customFormat="1" ht="49.9" customHeight="1" x14ac:dyDescent="0.6">
      <c r="A16" s="73" t="s">
        <v>9</v>
      </c>
      <c r="B16" s="74"/>
      <c r="C16" s="74"/>
      <c r="D16" s="74"/>
      <c r="E16" s="74"/>
      <c r="F16" s="74"/>
      <c r="G16" s="74"/>
      <c r="H16" s="75"/>
      <c r="I16" s="73" t="s">
        <v>10</v>
      </c>
      <c r="J16" s="74"/>
      <c r="K16" s="74"/>
      <c r="L16" s="74"/>
      <c r="M16" s="75"/>
      <c r="N16" s="73" t="s">
        <v>11</v>
      </c>
      <c r="O16" s="74"/>
      <c r="P16" s="74"/>
      <c r="Q16" s="74"/>
      <c r="R16" s="75"/>
      <c r="S16" s="73" t="s">
        <v>12</v>
      </c>
      <c r="T16" s="74"/>
      <c r="U16" s="74"/>
      <c r="V16" s="74"/>
      <c r="W16" s="75"/>
      <c r="X16" s="73" t="s">
        <v>13</v>
      </c>
      <c r="Y16" s="74"/>
      <c r="Z16" s="74"/>
      <c r="AA16" s="74"/>
      <c r="AB16" s="75"/>
    </row>
    <row r="17" spans="1:28" ht="19.899999999999999" customHeight="1" x14ac:dyDescent="0.35">
      <c r="A17" s="46" t="s">
        <v>14</v>
      </c>
      <c r="B17" s="37" t="s">
        <v>15</v>
      </c>
      <c r="C17" s="39" t="s">
        <v>16</v>
      </c>
      <c r="D17" s="40"/>
      <c r="E17" s="40"/>
      <c r="F17" s="40"/>
      <c r="G17" s="40"/>
      <c r="H17" s="41"/>
      <c r="I17" s="46" t="s">
        <v>14</v>
      </c>
      <c r="J17" s="37" t="s">
        <v>15</v>
      </c>
      <c r="K17" s="39" t="s">
        <v>16</v>
      </c>
      <c r="L17" s="40"/>
      <c r="M17" s="41"/>
      <c r="N17" s="46" t="s">
        <v>14</v>
      </c>
      <c r="O17" s="37" t="s">
        <v>15</v>
      </c>
      <c r="P17" s="39" t="s">
        <v>16</v>
      </c>
      <c r="Q17" s="40"/>
      <c r="R17" s="41"/>
      <c r="S17" s="46" t="s">
        <v>14</v>
      </c>
      <c r="T17" s="37" t="s">
        <v>15</v>
      </c>
      <c r="U17" s="39" t="s">
        <v>16</v>
      </c>
      <c r="V17" s="40"/>
      <c r="W17" s="41"/>
      <c r="X17" s="46" t="s">
        <v>14</v>
      </c>
      <c r="Y17" s="37" t="s">
        <v>15</v>
      </c>
      <c r="Z17" s="39" t="s">
        <v>16</v>
      </c>
      <c r="AA17" s="40"/>
      <c r="AB17" s="41"/>
    </row>
    <row r="18" spans="1:28" ht="19.899999999999999" customHeight="1" x14ac:dyDescent="0.35">
      <c r="A18" s="47"/>
      <c r="B18" s="38"/>
      <c r="C18" s="56">
        <f>B5</f>
        <v>45293</v>
      </c>
      <c r="D18" s="80"/>
      <c r="E18" s="56">
        <f>B6</f>
        <v>45448</v>
      </c>
      <c r="F18" s="80"/>
      <c r="G18" s="56">
        <f>B7</f>
        <v>45603</v>
      </c>
      <c r="H18" s="57"/>
      <c r="I18" s="47"/>
      <c r="J18" s="38"/>
      <c r="K18" s="24">
        <f>B5</f>
        <v>45293</v>
      </c>
      <c r="L18" s="24">
        <f>B6</f>
        <v>45448</v>
      </c>
      <c r="M18" s="25">
        <f>B7</f>
        <v>45603</v>
      </c>
      <c r="N18" s="47"/>
      <c r="O18" s="38"/>
      <c r="P18" s="24">
        <f>B5</f>
        <v>45293</v>
      </c>
      <c r="Q18" s="24">
        <f>B6</f>
        <v>45448</v>
      </c>
      <c r="R18" s="25">
        <f>B7</f>
        <v>45603</v>
      </c>
      <c r="S18" s="47"/>
      <c r="T18" s="38"/>
      <c r="U18" s="24">
        <f>B5</f>
        <v>45293</v>
      </c>
      <c r="V18" s="24">
        <f>B6</f>
        <v>45448</v>
      </c>
      <c r="W18" s="25">
        <f>B7</f>
        <v>45603</v>
      </c>
      <c r="X18" s="47"/>
      <c r="Y18" s="38"/>
      <c r="Z18" s="24">
        <f>B5</f>
        <v>45293</v>
      </c>
      <c r="AA18" s="24">
        <f>B6</f>
        <v>45448</v>
      </c>
      <c r="AB18" s="25">
        <f>B7</f>
        <v>45603</v>
      </c>
    </row>
    <row r="19" spans="1:28" s="17" customFormat="1" ht="49.9" customHeight="1" x14ac:dyDescent="0.35">
      <c r="A19" s="58" t="s">
        <v>17</v>
      </c>
      <c r="B19" s="59"/>
      <c r="C19" s="60"/>
      <c r="D19" s="60"/>
      <c r="E19" s="60"/>
      <c r="F19" s="60"/>
      <c r="G19" s="60"/>
      <c r="H19" s="61"/>
      <c r="I19" s="58" t="s">
        <v>18</v>
      </c>
      <c r="J19" s="59"/>
      <c r="K19" s="60"/>
      <c r="L19" s="60"/>
      <c r="M19" s="61"/>
      <c r="N19" s="58" t="s">
        <v>19</v>
      </c>
      <c r="O19" s="59"/>
      <c r="P19" s="60"/>
      <c r="Q19" s="60"/>
      <c r="R19" s="61"/>
      <c r="S19" s="58" t="s">
        <v>20</v>
      </c>
      <c r="T19" s="59"/>
      <c r="U19" s="60"/>
      <c r="V19" s="60"/>
      <c r="W19" s="61"/>
      <c r="X19" s="58" t="s">
        <v>21</v>
      </c>
      <c r="Y19" s="59"/>
      <c r="Z19" s="60"/>
      <c r="AA19" s="60"/>
      <c r="AB19" s="61"/>
    </row>
    <row r="20" spans="1:28" ht="49.9" customHeight="1" x14ac:dyDescent="0.35">
      <c r="A20" s="7">
        <v>1</v>
      </c>
      <c r="B20" s="6" t="s">
        <v>22</v>
      </c>
      <c r="C20" s="48">
        <v>2</v>
      </c>
      <c r="D20" s="52"/>
      <c r="E20" s="48">
        <v>1</v>
      </c>
      <c r="F20" s="52"/>
      <c r="G20" s="81">
        <v>1</v>
      </c>
      <c r="H20" s="82"/>
      <c r="I20" s="7">
        <v>1</v>
      </c>
      <c r="J20" s="6" t="s">
        <v>23</v>
      </c>
      <c r="K20" s="34">
        <v>0</v>
      </c>
      <c r="L20" s="34">
        <v>0</v>
      </c>
      <c r="M20" s="22">
        <v>0</v>
      </c>
      <c r="N20" s="7">
        <v>1</v>
      </c>
      <c r="O20" s="6" t="s">
        <v>24</v>
      </c>
      <c r="P20" s="34">
        <v>0</v>
      </c>
      <c r="Q20" s="34">
        <v>0</v>
      </c>
      <c r="R20" s="22">
        <v>0</v>
      </c>
      <c r="S20" s="7">
        <v>1</v>
      </c>
      <c r="T20" s="6" t="s">
        <v>25</v>
      </c>
      <c r="U20" s="34">
        <v>0</v>
      </c>
      <c r="V20" s="34">
        <v>0</v>
      </c>
      <c r="W20" s="22">
        <v>1</v>
      </c>
      <c r="X20" s="7">
        <v>1</v>
      </c>
      <c r="Y20" s="6" t="s">
        <v>26</v>
      </c>
      <c r="Z20" s="34">
        <v>0</v>
      </c>
      <c r="AA20" s="34">
        <v>0</v>
      </c>
      <c r="AB20" s="22">
        <v>1</v>
      </c>
    </row>
    <row r="21" spans="1:28" ht="49.9" customHeight="1" x14ac:dyDescent="0.35">
      <c r="A21" s="7">
        <v>2</v>
      </c>
      <c r="B21" s="6" t="s">
        <v>27</v>
      </c>
      <c r="C21" s="48">
        <v>1</v>
      </c>
      <c r="D21" s="52"/>
      <c r="E21" s="48">
        <v>1</v>
      </c>
      <c r="F21" s="52"/>
      <c r="G21" s="48">
        <v>1</v>
      </c>
      <c r="H21" s="49"/>
      <c r="I21" s="7">
        <v>2</v>
      </c>
      <c r="J21" s="6" t="s">
        <v>28</v>
      </c>
      <c r="K21" s="34">
        <v>0</v>
      </c>
      <c r="L21" s="34">
        <v>0</v>
      </c>
      <c r="M21" s="22">
        <v>0</v>
      </c>
      <c r="N21" s="7">
        <v>2</v>
      </c>
      <c r="O21" s="6" t="s">
        <v>29</v>
      </c>
      <c r="P21" s="34">
        <v>0</v>
      </c>
      <c r="Q21" s="34">
        <v>0</v>
      </c>
      <c r="R21" s="22">
        <v>0</v>
      </c>
      <c r="S21" s="7">
        <v>2</v>
      </c>
      <c r="T21" s="6" t="s">
        <v>30</v>
      </c>
      <c r="U21" s="34">
        <v>0</v>
      </c>
      <c r="V21" s="34">
        <v>0</v>
      </c>
      <c r="W21" s="22">
        <v>1</v>
      </c>
      <c r="X21" s="7">
        <v>2</v>
      </c>
      <c r="Y21" s="6" t="s">
        <v>31</v>
      </c>
      <c r="Z21" s="34">
        <v>0</v>
      </c>
      <c r="AA21" s="34">
        <v>0</v>
      </c>
      <c r="AB21" s="22">
        <v>1</v>
      </c>
    </row>
    <row r="22" spans="1:28" ht="49.9" customHeight="1" x14ac:dyDescent="0.35">
      <c r="A22" s="7">
        <v>3</v>
      </c>
      <c r="B22" s="6" t="s">
        <v>32</v>
      </c>
      <c r="C22" s="48">
        <v>1</v>
      </c>
      <c r="D22" s="52"/>
      <c r="E22" s="48">
        <v>1</v>
      </c>
      <c r="F22" s="52"/>
      <c r="G22" s="48">
        <v>1</v>
      </c>
      <c r="H22" s="49"/>
      <c r="I22" s="7">
        <v>3</v>
      </c>
      <c r="J22" s="6" t="s">
        <v>33</v>
      </c>
      <c r="K22" s="34">
        <v>1</v>
      </c>
      <c r="L22" s="34">
        <v>1</v>
      </c>
      <c r="M22" s="22">
        <v>1</v>
      </c>
      <c r="N22" s="7">
        <v>3</v>
      </c>
      <c r="O22" s="6" t="s">
        <v>34</v>
      </c>
      <c r="P22" s="34">
        <v>1</v>
      </c>
      <c r="Q22" s="34">
        <v>1</v>
      </c>
      <c r="R22" s="22">
        <v>0</v>
      </c>
      <c r="S22" s="7">
        <v>3</v>
      </c>
      <c r="T22" s="6" t="s">
        <v>35</v>
      </c>
      <c r="U22" s="34">
        <v>1</v>
      </c>
      <c r="V22" s="34">
        <v>1</v>
      </c>
      <c r="W22" s="22">
        <v>1</v>
      </c>
      <c r="X22" s="7">
        <v>3</v>
      </c>
      <c r="Y22" s="6" t="s">
        <v>36</v>
      </c>
      <c r="Z22" s="34">
        <v>1</v>
      </c>
      <c r="AA22" s="34">
        <v>1</v>
      </c>
      <c r="AB22" s="22">
        <v>1</v>
      </c>
    </row>
    <row r="23" spans="1:28" ht="49.9" customHeight="1" x14ac:dyDescent="0.35">
      <c r="A23" s="7">
        <v>4</v>
      </c>
      <c r="B23" s="6" t="s">
        <v>37</v>
      </c>
      <c r="C23" s="48">
        <v>1</v>
      </c>
      <c r="D23" s="52"/>
      <c r="E23" s="48">
        <v>1</v>
      </c>
      <c r="F23" s="52"/>
      <c r="G23" s="48">
        <v>1</v>
      </c>
      <c r="H23" s="49"/>
      <c r="I23" s="7">
        <v>4</v>
      </c>
      <c r="J23" s="6" t="s">
        <v>38</v>
      </c>
      <c r="K23" s="34">
        <v>1</v>
      </c>
      <c r="L23" s="34">
        <v>1</v>
      </c>
      <c r="M23" s="22">
        <v>1</v>
      </c>
      <c r="N23" s="7">
        <v>4</v>
      </c>
      <c r="O23" s="6" t="s">
        <v>39</v>
      </c>
      <c r="P23" s="34">
        <v>1</v>
      </c>
      <c r="Q23" s="34">
        <v>1</v>
      </c>
      <c r="R23" s="22">
        <v>0</v>
      </c>
      <c r="S23" s="7">
        <v>4</v>
      </c>
      <c r="T23" s="6" t="s">
        <v>40</v>
      </c>
      <c r="U23" s="34">
        <v>1</v>
      </c>
      <c r="V23" s="34">
        <v>1</v>
      </c>
      <c r="W23" s="22">
        <v>1</v>
      </c>
      <c r="X23" s="7">
        <v>4</v>
      </c>
      <c r="Y23" s="6" t="s">
        <v>41</v>
      </c>
      <c r="Z23" s="34">
        <v>1</v>
      </c>
      <c r="AA23" s="34">
        <v>1</v>
      </c>
      <c r="AB23" s="22">
        <v>1</v>
      </c>
    </row>
    <row r="24" spans="1:28" ht="49.9" customHeight="1" x14ac:dyDescent="0.35">
      <c r="A24" s="7">
        <v>5</v>
      </c>
      <c r="B24" s="6" t="s">
        <v>42</v>
      </c>
      <c r="C24" s="48">
        <v>2</v>
      </c>
      <c r="D24" s="52"/>
      <c r="E24" s="48">
        <v>2</v>
      </c>
      <c r="F24" s="52"/>
      <c r="G24" s="48">
        <v>2</v>
      </c>
      <c r="H24" s="49"/>
      <c r="I24" s="7">
        <v>5</v>
      </c>
      <c r="J24" s="6" t="s">
        <v>43</v>
      </c>
      <c r="K24" s="34">
        <v>1</v>
      </c>
      <c r="L24" s="34">
        <v>1</v>
      </c>
      <c r="M24" s="22">
        <v>1</v>
      </c>
      <c r="N24" s="7">
        <v>5</v>
      </c>
      <c r="O24" s="6" t="s">
        <v>44</v>
      </c>
      <c r="P24" s="34">
        <v>1</v>
      </c>
      <c r="Q24" s="34">
        <v>1</v>
      </c>
      <c r="R24" s="22">
        <v>0</v>
      </c>
      <c r="S24" s="7">
        <v>5</v>
      </c>
      <c r="T24" s="6" t="s">
        <v>45</v>
      </c>
      <c r="U24" s="34">
        <v>1</v>
      </c>
      <c r="V24" s="34">
        <v>1</v>
      </c>
      <c r="W24" s="22">
        <v>1</v>
      </c>
      <c r="X24" s="7">
        <v>5</v>
      </c>
      <c r="Y24" s="6" t="s">
        <v>46</v>
      </c>
      <c r="Z24" s="34">
        <v>1</v>
      </c>
      <c r="AA24" s="34">
        <v>1</v>
      </c>
      <c r="AB24" s="22">
        <v>1</v>
      </c>
    </row>
    <row r="25" spans="1:28" ht="49.9" customHeight="1" x14ac:dyDescent="0.35">
      <c r="A25" s="7">
        <v>6</v>
      </c>
      <c r="B25" s="6" t="s">
        <v>47</v>
      </c>
      <c r="C25" s="48">
        <v>2</v>
      </c>
      <c r="D25" s="52"/>
      <c r="E25" s="48">
        <v>2</v>
      </c>
      <c r="F25" s="52"/>
      <c r="G25" s="48">
        <v>2</v>
      </c>
      <c r="H25" s="49"/>
      <c r="I25" s="7">
        <v>6</v>
      </c>
      <c r="J25" s="6" t="s">
        <v>48</v>
      </c>
      <c r="K25" s="34">
        <v>2</v>
      </c>
      <c r="L25" s="34">
        <v>2</v>
      </c>
      <c r="M25" s="22">
        <v>2</v>
      </c>
      <c r="N25" s="7">
        <v>6</v>
      </c>
      <c r="O25" s="6" t="s">
        <v>49</v>
      </c>
      <c r="P25" s="34">
        <v>2</v>
      </c>
      <c r="Q25" s="34">
        <v>2</v>
      </c>
      <c r="R25" s="22">
        <v>1</v>
      </c>
      <c r="S25" s="7">
        <v>6</v>
      </c>
      <c r="T25" s="6" t="s">
        <v>50</v>
      </c>
      <c r="U25" s="34">
        <v>2</v>
      </c>
      <c r="V25" s="34">
        <v>2</v>
      </c>
      <c r="W25" s="22">
        <v>2</v>
      </c>
      <c r="X25" s="7">
        <v>6</v>
      </c>
      <c r="Y25" s="6" t="s">
        <v>51</v>
      </c>
      <c r="Z25" s="34">
        <v>2</v>
      </c>
      <c r="AA25" s="34">
        <v>2</v>
      </c>
      <c r="AB25" s="22">
        <v>1</v>
      </c>
    </row>
    <row r="26" spans="1:28" ht="49.9" customHeight="1" x14ac:dyDescent="0.35">
      <c r="A26" s="7">
        <v>7</v>
      </c>
      <c r="B26" s="6" t="s">
        <v>52</v>
      </c>
      <c r="C26" s="48">
        <v>2</v>
      </c>
      <c r="D26" s="52"/>
      <c r="E26" s="48">
        <v>2</v>
      </c>
      <c r="F26" s="52"/>
      <c r="G26" s="48">
        <v>2</v>
      </c>
      <c r="H26" s="49"/>
      <c r="I26" s="7">
        <v>7</v>
      </c>
      <c r="J26" s="6" t="s">
        <v>53</v>
      </c>
      <c r="K26" s="34">
        <v>2</v>
      </c>
      <c r="L26" s="34">
        <v>2</v>
      </c>
      <c r="M26" s="22">
        <v>2</v>
      </c>
      <c r="N26" s="7">
        <v>7</v>
      </c>
      <c r="O26" s="6" t="s">
        <v>54</v>
      </c>
      <c r="P26" s="34">
        <v>2</v>
      </c>
      <c r="Q26" s="34">
        <v>2</v>
      </c>
      <c r="R26" s="22">
        <v>1</v>
      </c>
      <c r="S26" s="7">
        <v>7</v>
      </c>
      <c r="T26" s="6" t="s">
        <v>55</v>
      </c>
      <c r="U26" s="34">
        <v>2</v>
      </c>
      <c r="V26" s="34">
        <v>2</v>
      </c>
      <c r="W26" s="22">
        <v>2</v>
      </c>
      <c r="X26" s="7">
        <v>7</v>
      </c>
      <c r="Y26" s="6" t="s">
        <v>56</v>
      </c>
      <c r="Z26" s="34">
        <v>2</v>
      </c>
      <c r="AA26" s="34">
        <v>2</v>
      </c>
      <c r="AB26" s="22">
        <v>1</v>
      </c>
    </row>
    <row r="27" spans="1:28" ht="49.9" customHeight="1" x14ac:dyDescent="0.35">
      <c r="A27" s="7">
        <v>8</v>
      </c>
      <c r="B27" s="6" t="s">
        <v>57</v>
      </c>
      <c r="C27" s="48">
        <v>2</v>
      </c>
      <c r="D27" s="52"/>
      <c r="E27" s="48">
        <v>2</v>
      </c>
      <c r="F27" s="52"/>
      <c r="G27" s="48">
        <v>2</v>
      </c>
      <c r="H27" s="49"/>
      <c r="I27" s="7">
        <v>8</v>
      </c>
      <c r="J27" s="6" t="s">
        <v>58</v>
      </c>
      <c r="K27" s="34">
        <v>2</v>
      </c>
      <c r="L27" s="34">
        <v>2</v>
      </c>
      <c r="M27" s="22">
        <v>2</v>
      </c>
      <c r="N27" s="7">
        <v>8</v>
      </c>
      <c r="O27" s="6" t="s">
        <v>59</v>
      </c>
      <c r="P27" s="34">
        <v>2</v>
      </c>
      <c r="Q27" s="34">
        <v>2</v>
      </c>
      <c r="R27" s="22">
        <v>1</v>
      </c>
      <c r="S27" s="7">
        <v>8</v>
      </c>
      <c r="T27" s="6" t="s">
        <v>60</v>
      </c>
      <c r="U27" s="34">
        <v>2</v>
      </c>
      <c r="V27" s="34">
        <v>2</v>
      </c>
      <c r="W27" s="22">
        <v>2</v>
      </c>
      <c r="X27" s="7">
        <v>8</v>
      </c>
      <c r="Y27" s="6" t="s">
        <v>61</v>
      </c>
      <c r="Z27" s="34">
        <v>2</v>
      </c>
      <c r="AA27" s="34">
        <v>2</v>
      </c>
      <c r="AB27" s="22">
        <v>1</v>
      </c>
    </row>
    <row r="28" spans="1:28" ht="49.9" customHeight="1" x14ac:dyDescent="0.35">
      <c r="A28" s="7">
        <v>9</v>
      </c>
      <c r="B28" s="6" t="s">
        <v>62</v>
      </c>
      <c r="C28" s="48">
        <v>1</v>
      </c>
      <c r="D28" s="52"/>
      <c r="E28" s="48">
        <v>1</v>
      </c>
      <c r="F28" s="52"/>
      <c r="G28" s="48">
        <v>1</v>
      </c>
      <c r="H28" s="49"/>
      <c r="I28" s="7">
        <v>9</v>
      </c>
      <c r="J28" s="6" t="s">
        <v>63</v>
      </c>
      <c r="K28" s="34">
        <v>2</v>
      </c>
      <c r="L28" s="34">
        <v>2</v>
      </c>
      <c r="M28" s="22">
        <v>2</v>
      </c>
      <c r="N28" s="7">
        <v>9</v>
      </c>
      <c r="O28" s="6" t="s">
        <v>64</v>
      </c>
      <c r="P28" s="34">
        <v>2</v>
      </c>
      <c r="Q28" s="34">
        <v>2</v>
      </c>
      <c r="R28" s="22">
        <v>1</v>
      </c>
      <c r="S28" s="7">
        <v>9</v>
      </c>
      <c r="T28" s="6" t="s">
        <v>65</v>
      </c>
      <c r="U28" s="34">
        <v>2</v>
      </c>
      <c r="V28" s="34">
        <v>2</v>
      </c>
      <c r="W28" s="22">
        <v>2</v>
      </c>
      <c r="X28" s="7">
        <v>9</v>
      </c>
      <c r="Y28" s="6" t="s">
        <v>66</v>
      </c>
      <c r="Z28" s="34">
        <v>2</v>
      </c>
      <c r="AA28" s="34">
        <v>2</v>
      </c>
      <c r="AB28" s="22">
        <v>1</v>
      </c>
    </row>
    <row r="29" spans="1:28" ht="49.9" customHeight="1" x14ac:dyDescent="0.35">
      <c r="A29" s="7">
        <v>10</v>
      </c>
      <c r="B29" s="6" t="s">
        <v>67</v>
      </c>
      <c r="C29" s="48">
        <v>2</v>
      </c>
      <c r="D29" s="52"/>
      <c r="E29" s="48">
        <v>2</v>
      </c>
      <c r="F29" s="52"/>
      <c r="G29" s="48">
        <v>2</v>
      </c>
      <c r="H29" s="49"/>
      <c r="I29" s="7">
        <v>10</v>
      </c>
      <c r="J29" s="6" t="s">
        <v>68</v>
      </c>
      <c r="K29" s="34">
        <v>1</v>
      </c>
      <c r="L29" s="34">
        <v>1</v>
      </c>
      <c r="M29" s="22">
        <v>1</v>
      </c>
      <c r="N29" s="7">
        <v>10</v>
      </c>
      <c r="O29" s="6" t="s">
        <v>69</v>
      </c>
      <c r="P29" s="34">
        <v>1</v>
      </c>
      <c r="Q29" s="34">
        <v>1</v>
      </c>
      <c r="R29" s="22">
        <v>1</v>
      </c>
      <c r="S29" s="7">
        <v>10</v>
      </c>
      <c r="T29" s="6" t="s">
        <v>70</v>
      </c>
      <c r="U29" s="34">
        <v>1</v>
      </c>
      <c r="V29" s="34">
        <v>1</v>
      </c>
      <c r="W29" s="22">
        <v>2</v>
      </c>
      <c r="X29" s="7">
        <v>10</v>
      </c>
      <c r="Y29" s="6" t="s">
        <v>71</v>
      </c>
      <c r="Z29" s="34">
        <v>1</v>
      </c>
      <c r="AA29" s="34">
        <v>1</v>
      </c>
      <c r="AB29" s="22">
        <v>1</v>
      </c>
    </row>
    <row r="30" spans="1:28" s="17" customFormat="1" ht="49.9" customHeight="1" x14ac:dyDescent="0.35">
      <c r="A30" s="62" t="s">
        <v>72</v>
      </c>
      <c r="B30" s="63"/>
      <c r="C30" s="64"/>
      <c r="D30" s="64"/>
      <c r="E30" s="64"/>
      <c r="F30" s="64"/>
      <c r="G30" s="64"/>
      <c r="H30" s="65"/>
      <c r="I30" s="62" t="s">
        <v>73</v>
      </c>
      <c r="J30" s="63"/>
      <c r="K30" s="64"/>
      <c r="L30" s="64"/>
      <c r="M30" s="65"/>
      <c r="N30" s="62" t="s">
        <v>74</v>
      </c>
      <c r="O30" s="63"/>
      <c r="P30" s="64"/>
      <c r="Q30" s="64"/>
      <c r="R30" s="65"/>
      <c r="S30" s="62" t="s">
        <v>75</v>
      </c>
      <c r="T30" s="63"/>
      <c r="U30" s="64"/>
      <c r="V30" s="64"/>
      <c r="W30" s="65"/>
      <c r="X30" s="62" t="s">
        <v>76</v>
      </c>
      <c r="Y30" s="63"/>
      <c r="Z30" s="64"/>
      <c r="AA30" s="64"/>
      <c r="AB30" s="65"/>
    </row>
    <row r="31" spans="1:28" ht="49.9" customHeight="1" x14ac:dyDescent="0.35">
      <c r="A31" s="7">
        <v>1</v>
      </c>
      <c r="B31" s="6" t="s">
        <v>77</v>
      </c>
      <c r="C31" s="48">
        <v>1</v>
      </c>
      <c r="D31" s="52"/>
      <c r="E31" s="48">
        <v>1</v>
      </c>
      <c r="F31" s="52"/>
      <c r="G31" s="48">
        <v>1</v>
      </c>
      <c r="H31" s="49"/>
      <c r="I31" s="7">
        <v>1</v>
      </c>
      <c r="J31" s="6" t="s">
        <v>78</v>
      </c>
      <c r="K31" s="34">
        <v>0</v>
      </c>
      <c r="L31" s="34">
        <v>0</v>
      </c>
      <c r="M31" s="22">
        <v>1</v>
      </c>
      <c r="N31" s="7">
        <v>1</v>
      </c>
      <c r="O31" s="6" t="s">
        <v>79</v>
      </c>
      <c r="P31" s="34">
        <v>0</v>
      </c>
      <c r="Q31" s="34">
        <v>0</v>
      </c>
      <c r="R31" s="22">
        <v>1</v>
      </c>
      <c r="S31" s="7">
        <v>1</v>
      </c>
      <c r="T31" s="6" t="s">
        <v>80</v>
      </c>
      <c r="U31" s="34">
        <v>0</v>
      </c>
      <c r="V31" s="34">
        <v>0</v>
      </c>
      <c r="W31" s="22">
        <v>1</v>
      </c>
      <c r="X31" s="7">
        <v>1</v>
      </c>
      <c r="Y31" s="6" t="s">
        <v>81</v>
      </c>
      <c r="Z31" s="34">
        <v>0</v>
      </c>
      <c r="AA31" s="34">
        <v>0</v>
      </c>
      <c r="AB31" s="22">
        <v>2</v>
      </c>
    </row>
    <row r="32" spans="1:28" ht="49.9" customHeight="1" x14ac:dyDescent="0.35">
      <c r="A32" s="7">
        <v>2</v>
      </c>
      <c r="B32" s="6" t="s">
        <v>82</v>
      </c>
      <c r="C32" s="48">
        <v>1</v>
      </c>
      <c r="D32" s="52"/>
      <c r="E32" s="48">
        <v>1</v>
      </c>
      <c r="F32" s="52"/>
      <c r="G32" s="48">
        <v>1</v>
      </c>
      <c r="H32" s="49"/>
      <c r="I32" s="7">
        <v>2</v>
      </c>
      <c r="J32" s="6" t="s">
        <v>83</v>
      </c>
      <c r="K32" s="34">
        <v>0</v>
      </c>
      <c r="L32" s="34">
        <v>0</v>
      </c>
      <c r="M32" s="22">
        <v>1</v>
      </c>
      <c r="N32" s="7">
        <v>2</v>
      </c>
      <c r="O32" s="6" t="s">
        <v>84</v>
      </c>
      <c r="P32" s="34">
        <v>0</v>
      </c>
      <c r="Q32" s="34">
        <v>0</v>
      </c>
      <c r="R32" s="22">
        <v>1</v>
      </c>
      <c r="S32" s="7">
        <v>2</v>
      </c>
      <c r="T32" s="6" t="s">
        <v>85</v>
      </c>
      <c r="U32" s="34">
        <v>0</v>
      </c>
      <c r="V32" s="34">
        <v>0</v>
      </c>
      <c r="W32" s="22">
        <v>1</v>
      </c>
      <c r="X32" s="7">
        <v>2</v>
      </c>
      <c r="Y32" s="6" t="s">
        <v>86</v>
      </c>
      <c r="Z32" s="34">
        <v>0</v>
      </c>
      <c r="AA32" s="34">
        <v>0</v>
      </c>
      <c r="AB32" s="22">
        <v>2</v>
      </c>
    </row>
    <row r="33" spans="1:28" ht="49.9" customHeight="1" x14ac:dyDescent="0.35">
      <c r="A33" s="7">
        <v>3</v>
      </c>
      <c r="B33" s="6" t="s">
        <v>87</v>
      </c>
      <c r="C33" s="48">
        <v>1</v>
      </c>
      <c r="D33" s="52"/>
      <c r="E33" s="48">
        <v>1</v>
      </c>
      <c r="F33" s="52"/>
      <c r="G33" s="48">
        <v>1</v>
      </c>
      <c r="H33" s="49"/>
      <c r="I33" s="7">
        <v>3</v>
      </c>
      <c r="J33" s="6" t="s">
        <v>88</v>
      </c>
      <c r="K33" s="34">
        <v>1</v>
      </c>
      <c r="L33" s="34">
        <v>1</v>
      </c>
      <c r="M33" s="22">
        <v>1</v>
      </c>
      <c r="N33" s="7">
        <v>3</v>
      </c>
      <c r="O33" s="6" t="s">
        <v>89</v>
      </c>
      <c r="P33" s="34">
        <v>1</v>
      </c>
      <c r="Q33" s="34">
        <v>1</v>
      </c>
      <c r="R33" s="22">
        <v>1</v>
      </c>
      <c r="S33" s="7">
        <v>3</v>
      </c>
      <c r="T33" s="6" t="s">
        <v>90</v>
      </c>
      <c r="U33" s="34">
        <v>1</v>
      </c>
      <c r="V33" s="34">
        <v>1</v>
      </c>
      <c r="W33" s="22">
        <v>1</v>
      </c>
      <c r="X33" s="7">
        <v>3</v>
      </c>
      <c r="Y33" s="6" t="s">
        <v>91</v>
      </c>
      <c r="Z33" s="34">
        <v>1</v>
      </c>
      <c r="AA33" s="34">
        <v>1</v>
      </c>
      <c r="AB33" s="22">
        <v>2</v>
      </c>
    </row>
    <row r="34" spans="1:28" ht="49.9" customHeight="1" x14ac:dyDescent="0.35">
      <c r="A34" s="7">
        <v>4</v>
      </c>
      <c r="B34" s="6" t="s">
        <v>92</v>
      </c>
      <c r="C34" s="48">
        <v>1</v>
      </c>
      <c r="D34" s="52"/>
      <c r="E34" s="48">
        <v>1</v>
      </c>
      <c r="F34" s="52"/>
      <c r="G34" s="48">
        <v>1</v>
      </c>
      <c r="H34" s="49"/>
      <c r="I34" s="7">
        <v>4</v>
      </c>
      <c r="J34" s="6" t="s">
        <v>93</v>
      </c>
      <c r="K34" s="34">
        <v>1</v>
      </c>
      <c r="L34" s="34">
        <v>1</v>
      </c>
      <c r="M34" s="22">
        <v>1</v>
      </c>
      <c r="N34" s="7">
        <v>4</v>
      </c>
      <c r="O34" s="6" t="s">
        <v>94</v>
      </c>
      <c r="P34" s="34">
        <v>1</v>
      </c>
      <c r="Q34" s="34">
        <v>1</v>
      </c>
      <c r="R34" s="22">
        <v>1</v>
      </c>
      <c r="S34" s="7">
        <v>4</v>
      </c>
      <c r="T34" s="6" t="s">
        <v>95</v>
      </c>
      <c r="U34" s="34">
        <v>1</v>
      </c>
      <c r="V34" s="34">
        <v>1</v>
      </c>
      <c r="W34" s="22">
        <v>1</v>
      </c>
      <c r="X34" s="7">
        <v>4</v>
      </c>
      <c r="Y34" s="6" t="s">
        <v>96</v>
      </c>
      <c r="Z34" s="34">
        <v>1</v>
      </c>
      <c r="AA34" s="34">
        <v>1</v>
      </c>
      <c r="AB34" s="22">
        <v>2</v>
      </c>
    </row>
    <row r="35" spans="1:28" ht="49.9" customHeight="1" x14ac:dyDescent="0.35">
      <c r="A35" s="7">
        <v>5</v>
      </c>
      <c r="B35" s="6" t="s">
        <v>97</v>
      </c>
      <c r="C35" s="48">
        <v>2</v>
      </c>
      <c r="D35" s="52"/>
      <c r="E35" s="48">
        <v>2</v>
      </c>
      <c r="F35" s="52"/>
      <c r="G35" s="48">
        <v>1</v>
      </c>
      <c r="H35" s="49"/>
      <c r="I35" s="7">
        <v>5</v>
      </c>
      <c r="J35" s="6" t="s">
        <v>98</v>
      </c>
      <c r="K35" s="34">
        <v>1</v>
      </c>
      <c r="L35" s="34">
        <v>1</v>
      </c>
      <c r="M35" s="22">
        <v>1</v>
      </c>
      <c r="N35" s="7">
        <v>5</v>
      </c>
      <c r="O35" s="6" t="s">
        <v>99</v>
      </c>
      <c r="P35" s="34">
        <v>1</v>
      </c>
      <c r="Q35" s="34">
        <v>1</v>
      </c>
      <c r="R35" s="22">
        <v>0</v>
      </c>
      <c r="S35" s="7">
        <v>5</v>
      </c>
      <c r="T35" s="6" t="s">
        <v>100</v>
      </c>
      <c r="U35" s="34">
        <v>1</v>
      </c>
      <c r="V35" s="34">
        <v>1</v>
      </c>
      <c r="W35" s="22">
        <v>1</v>
      </c>
      <c r="X35" s="7">
        <v>5</v>
      </c>
      <c r="Y35" s="6" t="s">
        <v>101</v>
      </c>
      <c r="Z35" s="34">
        <v>1</v>
      </c>
      <c r="AA35" s="34">
        <v>1</v>
      </c>
      <c r="AB35" s="22">
        <v>2</v>
      </c>
    </row>
    <row r="36" spans="1:28" ht="49.9" customHeight="1" x14ac:dyDescent="0.35">
      <c r="A36" s="7">
        <v>6</v>
      </c>
      <c r="B36" s="6" t="s">
        <v>102</v>
      </c>
      <c r="C36" s="48">
        <v>2</v>
      </c>
      <c r="D36" s="52"/>
      <c r="E36" s="48">
        <v>2</v>
      </c>
      <c r="F36" s="52"/>
      <c r="G36" s="48">
        <v>2</v>
      </c>
      <c r="H36" s="49"/>
      <c r="I36" s="7">
        <v>6</v>
      </c>
      <c r="J36" s="6" t="s">
        <v>103</v>
      </c>
      <c r="K36" s="34">
        <v>2</v>
      </c>
      <c r="L36" s="34">
        <v>2</v>
      </c>
      <c r="M36" s="22">
        <v>2</v>
      </c>
      <c r="N36" s="7">
        <v>6</v>
      </c>
      <c r="O36" s="6" t="s">
        <v>104</v>
      </c>
      <c r="P36" s="34">
        <v>2</v>
      </c>
      <c r="Q36" s="34">
        <v>2</v>
      </c>
      <c r="R36" s="22">
        <v>0</v>
      </c>
      <c r="S36" s="7">
        <v>6</v>
      </c>
      <c r="T36" s="6" t="s">
        <v>105</v>
      </c>
      <c r="U36" s="34">
        <v>2</v>
      </c>
      <c r="V36" s="34">
        <v>2</v>
      </c>
      <c r="W36" s="22">
        <v>1</v>
      </c>
      <c r="X36" s="7">
        <v>6</v>
      </c>
      <c r="Y36" s="6" t="s">
        <v>106</v>
      </c>
      <c r="Z36" s="34">
        <v>2</v>
      </c>
      <c r="AA36" s="34">
        <v>2</v>
      </c>
      <c r="AB36" s="22">
        <v>2</v>
      </c>
    </row>
    <row r="37" spans="1:28" ht="49.9" customHeight="1" x14ac:dyDescent="0.35">
      <c r="A37" s="7">
        <v>7</v>
      </c>
      <c r="B37" s="6" t="s">
        <v>107</v>
      </c>
      <c r="C37" s="48">
        <v>2</v>
      </c>
      <c r="D37" s="52"/>
      <c r="E37" s="48">
        <v>2</v>
      </c>
      <c r="F37" s="52"/>
      <c r="G37" s="48">
        <v>2</v>
      </c>
      <c r="H37" s="49"/>
      <c r="I37" s="7">
        <v>7</v>
      </c>
      <c r="J37" s="6" t="s">
        <v>108</v>
      </c>
      <c r="K37" s="34">
        <v>2</v>
      </c>
      <c r="L37" s="34">
        <v>2</v>
      </c>
      <c r="M37" s="22">
        <v>2</v>
      </c>
      <c r="N37" s="7">
        <v>7</v>
      </c>
      <c r="O37" s="6" t="s">
        <v>109</v>
      </c>
      <c r="P37" s="34">
        <v>2</v>
      </c>
      <c r="Q37" s="34">
        <v>2</v>
      </c>
      <c r="R37" s="22">
        <v>0</v>
      </c>
      <c r="S37" s="7">
        <v>7</v>
      </c>
      <c r="T37" s="6" t="s">
        <v>110</v>
      </c>
      <c r="U37" s="34">
        <v>2</v>
      </c>
      <c r="V37" s="34">
        <v>2</v>
      </c>
      <c r="W37" s="22">
        <v>1</v>
      </c>
      <c r="X37" s="7">
        <v>7</v>
      </c>
      <c r="Y37" s="6" t="s">
        <v>111</v>
      </c>
      <c r="Z37" s="34">
        <v>2</v>
      </c>
      <c r="AA37" s="34">
        <v>2</v>
      </c>
      <c r="AB37" s="22">
        <v>2</v>
      </c>
    </row>
    <row r="38" spans="1:28" ht="49.9" customHeight="1" x14ac:dyDescent="0.35">
      <c r="A38" s="7">
        <v>8</v>
      </c>
      <c r="B38" s="6" t="s">
        <v>112</v>
      </c>
      <c r="C38" s="48">
        <v>2</v>
      </c>
      <c r="D38" s="52"/>
      <c r="E38" s="48">
        <v>2</v>
      </c>
      <c r="F38" s="52"/>
      <c r="G38" s="48">
        <v>2</v>
      </c>
      <c r="H38" s="49"/>
      <c r="I38" s="7">
        <v>8</v>
      </c>
      <c r="J38" s="6" t="s">
        <v>113</v>
      </c>
      <c r="K38" s="34">
        <v>2</v>
      </c>
      <c r="L38" s="34">
        <v>2</v>
      </c>
      <c r="M38" s="22">
        <v>2</v>
      </c>
      <c r="N38" s="7">
        <v>8</v>
      </c>
      <c r="O38" s="6" t="s">
        <v>114</v>
      </c>
      <c r="P38" s="34">
        <v>2</v>
      </c>
      <c r="Q38" s="34">
        <v>2</v>
      </c>
      <c r="R38" s="22">
        <v>0</v>
      </c>
      <c r="S38" s="7">
        <v>8</v>
      </c>
      <c r="T38" s="6" t="s">
        <v>115</v>
      </c>
      <c r="U38" s="34">
        <v>2</v>
      </c>
      <c r="V38" s="34">
        <v>2</v>
      </c>
      <c r="W38" s="22">
        <v>1</v>
      </c>
      <c r="X38" s="7">
        <v>8</v>
      </c>
      <c r="Y38" s="6" t="s">
        <v>116</v>
      </c>
      <c r="Z38" s="34">
        <v>2</v>
      </c>
      <c r="AA38" s="34">
        <v>2</v>
      </c>
      <c r="AB38" s="22">
        <v>2</v>
      </c>
    </row>
    <row r="39" spans="1:28" ht="49.9" customHeight="1" x14ac:dyDescent="0.35">
      <c r="A39" s="7">
        <v>9</v>
      </c>
      <c r="B39" s="6" t="s">
        <v>117</v>
      </c>
      <c r="C39" s="48">
        <v>1</v>
      </c>
      <c r="D39" s="52"/>
      <c r="E39" s="48">
        <v>1</v>
      </c>
      <c r="F39" s="52"/>
      <c r="G39" s="48">
        <v>2</v>
      </c>
      <c r="H39" s="49"/>
      <c r="I39" s="7">
        <v>9</v>
      </c>
      <c r="J39" s="6" t="s">
        <v>118</v>
      </c>
      <c r="K39" s="34">
        <v>2</v>
      </c>
      <c r="L39" s="34">
        <v>2</v>
      </c>
      <c r="M39" s="22">
        <v>2</v>
      </c>
      <c r="N39" s="7">
        <v>9</v>
      </c>
      <c r="O39" s="6" t="s">
        <v>119</v>
      </c>
      <c r="P39" s="34">
        <v>2</v>
      </c>
      <c r="Q39" s="34">
        <v>2</v>
      </c>
      <c r="R39" s="22">
        <v>0</v>
      </c>
      <c r="S39" s="7">
        <v>9</v>
      </c>
      <c r="T39" s="6" t="s">
        <v>120</v>
      </c>
      <c r="U39" s="34">
        <v>2</v>
      </c>
      <c r="V39" s="34">
        <v>2</v>
      </c>
      <c r="W39" s="22">
        <v>1</v>
      </c>
      <c r="X39" s="7">
        <v>9</v>
      </c>
      <c r="Y39" s="6" t="s">
        <v>121</v>
      </c>
      <c r="Z39" s="34">
        <v>2</v>
      </c>
      <c r="AA39" s="34">
        <v>2</v>
      </c>
      <c r="AB39" s="22">
        <v>2</v>
      </c>
    </row>
    <row r="40" spans="1:28" ht="49.9" customHeight="1" x14ac:dyDescent="0.35">
      <c r="A40" s="7">
        <v>10</v>
      </c>
      <c r="B40" s="6" t="s">
        <v>122</v>
      </c>
      <c r="C40" s="48">
        <v>2</v>
      </c>
      <c r="D40" s="52"/>
      <c r="E40" s="48">
        <v>2</v>
      </c>
      <c r="F40" s="52"/>
      <c r="G40" s="48">
        <v>2</v>
      </c>
      <c r="H40" s="49"/>
      <c r="I40" s="7">
        <v>10</v>
      </c>
      <c r="J40" s="6" t="s">
        <v>123</v>
      </c>
      <c r="K40" s="34">
        <v>1</v>
      </c>
      <c r="L40" s="34">
        <v>1</v>
      </c>
      <c r="M40" s="22">
        <v>2</v>
      </c>
      <c r="N40" s="7">
        <v>10</v>
      </c>
      <c r="O40" s="6" t="s">
        <v>124</v>
      </c>
      <c r="P40" s="34">
        <v>1</v>
      </c>
      <c r="Q40" s="34">
        <v>1</v>
      </c>
      <c r="R40" s="22">
        <v>0</v>
      </c>
      <c r="S40" s="7">
        <v>10</v>
      </c>
      <c r="T40" s="6" t="s">
        <v>125</v>
      </c>
      <c r="U40" s="34">
        <v>1</v>
      </c>
      <c r="V40" s="34">
        <v>1</v>
      </c>
      <c r="W40" s="22">
        <v>1</v>
      </c>
      <c r="X40" s="7">
        <v>10</v>
      </c>
      <c r="Y40" s="6" t="s">
        <v>126</v>
      </c>
      <c r="Z40" s="34">
        <v>1</v>
      </c>
      <c r="AA40" s="34">
        <v>1</v>
      </c>
      <c r="AB40" s="22">
        <v>2</v>
      </c>
    </row>
    <row r="41" spans="1:28" s="17" customFormat="1" ht="49.9" customHeight="1" x14ac:dyDescent="0.35">
      <c r="A41" s="62" t="s">
        <v>127</v>
      </c>
      <c r="B41" s="63"/>
      <c r="C41" s="64"/>
      <c r="D41" s="64"/>
      <c r="E41" s="64"/>
      <c r="F41" s="64"/>
      <c r="G41" s="64"/>
      <c r="H41" s="65"/>
      <c r="I41" s="62" t="s">
        <v>128</v>
      </c>
      <c r="J41" s="63"/>
      <c r="K41" s="64"/>
      <c r="L41" s="64"/>
      <c r="M41" s="65"/>
      <c r="N41" s="62" t="s">
        <v>129</v>
      </c>
      <c r="O41" s="63"/>
      <c r="P41" s="64"/>
      <c r="Q41" s="64"/>
      <c r="R41" s="65"/>
      <c r="S41" s="62" t="s">
        <v>130</v>
      </c>
      <c r="T41" s="63"/>
      <c r="U41" s="64"/>
      <c r="V41" s="64"/>
      <c r="W41" s="65"/>
      <c r="X41" s="62" t="s">
        <v>131</v>
      </c>
      <c r="Y41" s="63"/>
      <c r="Z41" s="64"/>
      <c r="AA41" s="64"/>
      <c r="AB41" s="65"/>
    </row>
    <row r="42" spans="1:28" ht="49.9" customHeight="1" x14ac:dyDescent="0.35">
      <c r="A42" s="7">
        <v>1</v>
      </c>
      <c r="B42" s="6" t="s">
        <v>132</v>
      </c>
      <c r="C42" s="48">
        <v>1</v>
      </c>
      <c r="D42" s="52"/>
      <c r="E42" s="48">
        <v>1</v>
      </c>
      <c r="F42" s="52"/>
      <c r="G42" s="48">
        <v>2</v>
      </c>
      <c r="H42" s="49"/>
      <c r="I42" s="7">
        <v>1</v>
      </c>
      <c r="J42" s="6" t="s">
        <v>133</v>
      </c>
      <c r="K42" s="34">
        <v>0</v>
      </c>
      <c r="L42" s="34">
        <v>0</v>
      </c>
      <c r="M42" s="22">
        <v>1</v>
      </c>
      <c r="N42" s="7">
        <v>1</v>
      </c>
      <c r="O42" s="6" t="s">
        <v>134</v>
      </c>
      <c r="P42" s="34">
        <v>0</v>
      </c>
      <c r="Q42" s="34">
        <v>0</v>
      </c>
      <c r="R42" s="22">
        <v>1</v>
      </c>
      <c r="S42" s="7">
        <v>1</v>
      </c>
      <c r="T42" s="6" t="s">
        <v>135</v>
      </c>
      <c r="U42" s="34">
        <v>0</v>
      </c>
      <c r="V42" s="34">
        <v>0</v>
      </c>
      <c r="W42" s="22">
        <v>1</v>
      </c>
      <c r="X42" s="7">
        <v>1</v>
      </c>
      <c r="Y42" s="6" t="s">
        <v>136</v>
      </c>
      <c r="Z42" s="34">
        <v>0</v>
      </c>
      <c r="AA42" s="34">
        <v>0</v>
      </c>
      <c r="AB42" s="22">
        <v>2</v>
      </c>
    </row>
    <row r="43" spans="1:28" ht="49.9" customHeight="1" x14ac:dyDescent="0.35">
      <c r="A43" s="7">
        <v>2</v>
      </c>
      <c r="B43" s="6" t="s">
        <v>137</v>
      </c>
      <c r="C43" s="48">
        <v>1</v>
      </c>
      <c r="D43" s="52"/>
      <c r="E43" s="48">
        <v>1</v>
      </c>
      <c r="F43" s="52"/>
      <c r="G43" s="48">
        <v>2</v>
      </c>
      <c r="H43" s="49"/>
      <c r="I43" s="7">
        <v>2</v>
      </c>
      <c r="J43" s="6" t="s">
        <v>138</v>
      </c>
      <c r="K43" s="34">
        <v>0</v>
      </c>
      <c r="L43" s="34">
        <v>0</v>
      </c>
      <c r="M43" s="22">
        <v>1</v>
      </c>
      <c r="N43" s="7">
        <v>2</v>
      </c>
      <c r="O43" s="6" t="s">
        <v>139</v>
      </c>
      <c r="P43" s="34">
        <v>0</v>
      </c>
      <c r="Q43" s="34">
        <v>0</v>
      </c>
      <c r="R43" s="22">
        <v>1</v>
      </c>
      <c r="S43" s="7">
        <v>2</v>
      </c>
      <c r="T43" s="6" t="s">
        <v>140</v>
      </c>
      <c r="U43" s="34">
        <v>0</v>
      </c>
      <c r="V43" s="34">
        <v>0</v>
      </c>
      <c r="W43" s="22">
        <v>1</v>
      </c>
      <c r="X43" s="7">
        <v>2</v>
      </c>
      <c r="Y43" s="6" t="s">
        <v>141</v>
      </c>
      <c r="Z43" s="34">
        <v>0</v>
      </c>
      <c r="AA43" s="34">
        <v>0</v>
      </c>
      <c r="AB43" s="22">
        <v>2</v>
      </c>
    </row>
    <row r="44" spans="1:28" ht="49.9" customHeight="1" x14ac:dyDescent="0.35">
      <c r="A44" s="7">
        <v>3</v>
      </c>
      <c r="B44" s="6" t="s">
        <v>142</v>
      </c>
      <c r="C44" s="48">
        <v>1</v>
      </c>
      <c r="D44" s="52"/>
      <c r="E44" s="48">
        <v>1</v>
      </c>
      <c r="F44" s="52"/>
      <c r="G44" s="48">
        <v>2</v>
      </c>
      <c r="H44" s="49"/>
      <c r="I44" s="7">
        <v>3</v>
      </c>
      <c r="J44" s="6" t="s">
        <v>143</v>
      </c>
      <c r="K44" s="34">
        <v>1</v>
      </c>
      <c r="L44" s="34">
        <v>1</v>
      </c>
      <c r="M44" s="22">
        <v>1</v>
      </c>
      <c r="N44" s="7">
        <v>3</v>
      </c>
      <c r="O44" s="6" t="s">
        <v>144</v>
      </c>
      <c r="P44" s="34">
        <v>1</v>
      </c>
      <c r="Q44" s="34">
        <v>1</v>
      </c>
      <c r="R44" s="22">
        <v>1</v>
      </c>
      <c r="S44" s="7">
        <v>3</v>
      </c>
      <c r="T44" s="6" t="s">
        <v>145</v>
      </c>
      <c r="U44" s="34">
        <v>1</v>
      </c>
      <c r="V44" s="34">
        <v>1</v>
      </c>
      <c r="W44" s="22">
        <v>1</v>
      </c>
      <c r="X44" s="7">
        <v>3</v>
      </c>
      <c r="Y44" s="6" t="s">
        <v>146</v>
      </c>
      <c r="Z44" s="34">
        <v>1</v>
      </c>
      <c r="AA44" s="34">
        <v>1</v>
      </c>
      <c r="AB44" s="22">
        <v>2</v>
      </c>
    </row>
    <row r="45" spans="1:28" ht="49.9" customHeight="1" x14ac:dyDescent="0.35">
      <c r="A45" s="7">
        <v>4</v>
      </c>
      <c r="B45" s="6" t="s">
        <v>147</v>
      </c>
      <c r="C45" s="48">
        <v>1</v>
      </c>
      <c r="D45" s="52"/>
      <c r="E45" s="48">
        <v>1</v>
      </c>
      <c r="F45" s="52"/>
      <c r="G45" s="48">
        <v>2</v>
      </c>
      <c r="H45" s="49"/>
      <c r="I45" s="7">
        <v>4</v>
      </c>
      <c r="J45" s="6" t="s">
        <v>148</v>
      </c>
      <c r="K45" s="34">
        <v>1</v>
      </c>
      <c r="L45" s="34">
        <v>1</v>
      </c>
      <c r="M45" s="22">
        <v>1</v>
      </c>
      <c r="N45" s="7">
        <v>4</v>
      </c>
      <c r="O45" s="6" t="s">
        <v>149</v>
      </c>
      <c r="P45" s="34">
        <v>1</v>
      </c>
      <c r="Q45" s="34">
        <v>1</v>
      </c>
      <c r="R45" s="22">
        <v>1</v>
      </c>
      <c r="S45" s="7">
        <v>4</v>
      </c>
      <c r="T45" s="6" t="s">
        <v>150</v>
      </c>
      <c r="U45" s="34">
        <v>1</v>
      </c>
      <c r="V45" s="34">
        <v>1</v>
      </c>
      <c r="W45" s="22">
        <v>1</v>
      </c>
      <c r="X45" s="7">
        <v>4</v>
      </c>
      <c r="Y45" s="6" t="s">
        <v>151</v>
      </c>
      <c r="Z45" s="34">
        <v>1</v>
      </c>
      <c r="AA45" s="34">
        <v>1</v>
      </c>
      <c r="AB45" s="22">
        <v>2</v>
      </c>
    </row>
    <row r="46" spans="1:28" ht="49.9" customHeight="1" x14ac:dyDescent="0.35">
      <c r="A46" s="7">
        <v>5</v>
      </c>
      <c r="B46" s="6" t="s">
        <v>152</v>
      </c>
      <c r="C46" s="48">
        <v>2</v>
      </c>
      <c r="D46" s="52"/>
      <c r="E46" s="48">
        <v>2</v>
      </c>
      <c r="F46" s="52"/>
      <c r="G46" s="48">
        <v>2</v>
      </c>
      <c r="H46" s="49"/>
      <c r="I46" s="7">
        <v>5</v>
      </c>
      <c r="J46" s="6" t="s">
        <v>153</v>
      </c>
      <c r="K46" s="34">
        <v>1</v>
      </c>
      <c r="L46" s="34">
        <v>1</v>
      </c>
      <c r="M46" s="22">
        <v>1</v>
      </c>
      <c r="N46" s="7">
        <v>5</v>
      </c>
      <c r="O46" s="6" t="s">
        <v>154</v>
      </c>
      <c r="P46" s="34">
        <v>1</v>
      </c>
      <c r="Q46" s="34">
        <v>1</v>
      </c>
      <c r="R46" s="22">
        <v>1</v>
      </c>
      <c r="S46" s="7">
        <v>5</v>
      </c>
      <c r="T46" s="6" t="s">
        <v>155</v>
      </c>
      <c r="U46" s="34">
        <v>1</v>
      </c>
      <c r="V46" s="34">
        <v>1</v>
      </c>
      <c r="W46" s="22">
        <v>1</v>
      </c>
      <c r="X46" s="7">
        <v>5</v>
      </c>
      <c r="Y46" s="6" t="s">
        <v>156</v>
      </c>
      <c r="Z46" s="34">
        <v>1</v>
      </c>
      <c r="AA46" s="34">
        <v>1</v>
      </c>
      <c r="AB46" s="22">
        <v>2</v>
      </c>
    </row>
    <row r="47" spans="1:28" ht="49.9" customHeight="1" x14ac:dyDescent="0.35">
      <c r="A47" s="7">
        <v>6</v>
      </c>
      <c r="B47" s="6" t="s">
        <v>157</v>
      </c>
      <c r="C47" s="48">
        <v>2</v>
      </c>
      <c r="D47" s="52"/>
      <c r="E47" s="48">
        <v>2</v>
      </c>
      <c r="F47" s="52"/>
      <c r="G47" s="48">
        <v>2</v>
      </c>
      <c r="H47" s="49"/>
      <c r="I47" s="7">
        <v>6</v>
      </c>
      <c r="J47" s="6" t="s">
        <v>158</v>
      </c>
      <c r="K47" s="34">
        <v>2</v>
      </c>
      <c r="L47" s="34">
        <v>2</v>
      </c>
      <c r="M47" s="22">
        <v>2</v>
      </c>
      <c r="N47" s="7">
        <v>6</v>
      </c>
      <c r="O47" s="6" t="s">
        <v>159</v>
      </c>
      <c r="P47" s="34">
        <v>2</v>
      </c>
      <c r="Q47" s="34">
        <v>2</v>
      </c>
      <c r="R47" s="22">
        <v>1</v>
      </c>
      <c r="S47" s="7">
        <v>6</v>
      </c>
      <c r="T47" s="6" t="s">
        <v>160</v>
      </c>
      <c r="U47" s="34">
        <v>2</v>
      </c>
      <c r="V47" s="34">
        <v>2</v>
      </c>
      <c r="W47" s="22">
        <v>1</v>
      </c>
      <c r="X47" s="7">
        <v>6</v>
      </c>
      <c r="Y47" s="6" t="s">
        <v>161</v>
      </c>
      <c r="Z47" s="34">
        <v>2</v>
      </c>
      <c r="AA47" s="34">
        <v>2</v>
      </c>
      <c r="AB47" s="22">
        <v>2</v>
      </c>
    </row>
    <row r="48" spans="1:28" ht="49.9" customHeight="1" x14ac:dyDescent="0.35">
      <c r="A48" s="7">
        <v>7</v>
      </c>
      <c r="B48" s="6" t="s">
        <v>162</v>
      </c>
      <c r="C48" s="48">
        <v>2</v>
      </c>
      <c r="D48" s="52"/>
      <c r="E48" s="48">
        <v>2</v>
      </c>
      <c r="F48" s="52"/>
      <c r="G48" s="48">
        <v>2</v>
      </c>
      <c r="H48" s="49"/>
      <c r="I48" s="7">
        <v>7</v>
      </c>
      <c r="J48" s="6" t="s">
        <v>163</v>
      </c>
      <c r="K48" s="34">
        <v>2</v>
      </c>
      <c r="L48" s="34">
        <v>2</v>
      </c>
      <c r="M48" s="22">
        <v>2</v>
      </c>
      <c r="N48" s="7">
        <v>7</v>
      </c>
      <c r="O48" s="6" t="s">
        <v>164</v>
      </c>
      <c r="P48" s="34">
        <v>2</v>
      </c>
      <c r="Q48" s="34">
        <v>2</v>
      </c>
      <c r="R48" s="22">
        <v>1</v>
      </c>
      <c r="S48" s="7">
        <v>7</v>
      </c>
      <c r="T48" s="6" t="s">
        <v>165</v>
      </c>
      <c r="U48" s="34">
        <v>2</v>
      </c>
      <c r="V48" s="34">
        <v>2</v>
      </c>
      <c r="W48" s="22">
        <v>1</v>
      </c>
      <c r="X48" s="7">
        <v>7</v>
      </c>
      <c r="Y48" s="6" t="s">
        <v>166</v>
      </c>
      <c r="Z48" s="34">
        <v>2</v>
      </c>
      <c r="AA48" s="34">
        <v>2</v>
      </c>
      <c r="AB48" s="22">
        <v>2</v>
      </c>
    </row>
    <row r="49" spans="1:28" ht="49.9" customHeight="1" x14ac:dyDescent="0.35">
      <c r="A49" s="7">
        <v>8</v>
      </c>
      <c r="B49" s="6" t="s">
        <v>167</v>
      </c>
      <c r="C49" s="48">
        <v>2</v>
      </c>
      <c r="D49" s="52"/>
      <c r="E49" s="48">
        <v>2</v>
      </c>
      <c r="F49" s="52"/>
      <c r="G49" s="48">
        <v>1</v>
      </c>
      <c r="H49" s="49"/>
      <c r="I49" s="7">
        <v>8</v>
      </c>
      <c r="J49" s="6" t="s">
        <v>168</v>
      </c>
      <c r="K49" s="34">
        <v>2</v>
      </c>
      <c r="L49" s="34">
        <v>2</v>
      </c>
      <c r="M49" s="22">
        <v>2</v>
      </c>
      <c r="N49" s="7">
        <v>8</v>
      </c>
      <c r="O49" s="6" t="s">
        <v>169</v>
      </c>
      <c r="P49" s="34">
        <v>2</v>
      </c>
      <c r="Q49" s="34">
        <v>2</v>
      </c>
      <c r="R49" s="22">
        <v>1</v>
      </c>
      <c r="S49" s="7">
        <v>8</v>
      </c>
      <c r="T49" s="6" t="s">
        <v>170</v>
      </c>
      <c r="U49" s="34">
        <v>2</v>
      </c>
      <c r="V49" s="34">
        <v>2</v>
      </c>
      <c r="W49" s="22">
        <v>1</v>
      </c>
      <c r="X49" s="7">
        <v>8</v>
      </c>
      <c r="Y49" s="6" t="s">
        <v>171</v>
      </c>
      <c r="Z49" s="34">
        <v>2</v>
      </c>
      <c r="AA49" s="34">
        <v>2</v>
      </c>
      <c r="AB49" s="22">
        <v>2</v>
      </c>
    </row>
    <row r="50" spans="1:28" ht="49.9" customHeight="1" x14ac:dyDescent="0.35">
      <c r="A50" s="7">
        <v>9</v>
      </c>
      <c r="B50" s="6" t="s">
        <v>172</v>
      </c>
      <c r="C50" s="48">
        <v>1</v>
      </c>
      <c r="D50" s="52"/>
      <c r="E50" s="48">
        <v>1</v>
      </c>
      <c r="F50" s="52"/>
      <c r="G50" s="48">
        <v>1</v>
      </c>
      <c r="H50" s="49"/>
      <c r="I50" s="7">
        <v>9</v>
      </c>
      <c r="J50" s="6" t="s">
        <v>173</v>
      </c>
      <c r="K50" s="34">
        <v>2</v>
      </c>
      <c r="L50" s="34">
        <v>2</v>
      </c>
      <c r="M50" s="22">
        <v>2</v>
      </c>
      <c r="N50" s="7">
        <v>9</v>
      </c>
      <c r="O50" s="6" t="s">
        <v>174</v>
      </c>
      <c r="P50" s="34">
        <v>2</v>
      </c>
      <c r="Q50" s="34">
        <v>2</v>
      </c>
      <c r="R50" s="22">
        <v>2</v>
      </c>
      <c r="S50" s="7">
        <v>9</v>
      </c>
      <c r="T50" s="6" t="s">
        <v>175</v>
      </c>
      <c r="U50" s="34">
        <v>2</v>
      </c>
      <c r="V50" s="34">
        <v>2</v>
      </c>
      <c r="W50" s="22">
        <v>1</v>
      </c>
      <c r="X50" s="7">
        <v>9</v>
      </c>
      <c r="Y50" s="6" t="s">
        <v>176</v>
      </c>
      <c r="Z50" s="34">
        <v>2</v>
      </c>
      <c r="AA50" s="34">
        <v>2</v>
      </c>
      <c r="AB50" s="22">
        <v>2</v>
      </c>
    </row>
    <row r="51" spans="1:28" ht="49.9" customHeight="1" x14ac:dyDescent="0.35">
      <c r="A51" s="7">
        <v>10</v>
      </c>
      <c r="B51" s="6" t="s">
        <v>177</v>
      </c>
      <c r="C51" s="48">
        <v>2</v>
      </c>
      <c r="D51" s="52"/>
      <c r="E51" s="48">
        <v>2</v>
      </c>
      <c r="F51" s="52"/>
      <c r="G51" s="48">
        <v>1</v>
      </c>
      <c r="H51" s="49"/>
      <c r="I51" s="7">
        <v>10</v>
      </c>
      <c r="J51" s="6" t="s">
        <v>178</v>
      </c>
      <c r="K51" s="34">
        <v>1</v>
      </c>
      <c r="L51" s="34">
        <v>1</v>
      </c>
      <c r="M51" s="22">
        <v>2</v>
      </c>
      <c r="N51" s="7">
        <v>10</v>
      </c>
      <c r="O51" s="6" t="s">
        <v>179</v>
      </c>
      <c r="P51" s="34">
        <v>1</v>
      </c>
      <c r="Q51" s="34">
        <v>1</v>
      </c>
      <c r="R51" s="22">
        <v>2</v>
      </c>
      <c r="S51" s="7">
        <v>10</v>
      </c>
      <c r="T51" s="6" t="s">
        <v>180</v>
      </c>
      <c r="U51" s="34">
        <v>1</v>
      </c>
      <c r="V51" s="34">
        <v>1</v>
      </c>
      <c r="W51" s="22">
        <v>1</v>
      </c>
      <c r="X51" s="7">
        <v>10</v>
      </c>
      <c r="Y51" s="6" t="s">
        <v>181</v>
      </c>
      <c r="Z51" s="34">
        <v>1</v>
      </c>
      <c r="AA51" s="34">
        <v>1</v>
      </c>
      <c r="AB51" s="22">
        <v>2</v>
      </c>
    </row>
    <row r="52" spans="1:28" s="17" customFormat="1" ht="49.9" customHeight="1" x14ac:dyDescent="0.35">
      <c r="A52" s="62" t="s">
        <v>182</v>
      </c>
      <c r="B52" s="63"/>
      <c r="C52" s="64"/>
      <c r="D52" s="64"/>
      <c r="E52" s="64"/>
      <c r="F52" s="64"/>
      <c r="G52" s="64"/>
      <c r="H52" s="65"/>
      <c r="I52" s="62" t="s">
        <v>183</v>
      </c>
      <c r="J52" s="63"/>
      <c r="K52" s="64"/>
      <c r="L52" s="64"/>
      <c r="M52" s="65"/>
      <c r="N52" s="62" t="s">
        <v>184</v>
      </c>
      <c r="O52" s="63"/>
      <c r="P52" s="64"/>
      <c r="Q52" s="64"/>
      <c r="R52" s="65"/>
      <c r="S52" s="62" t="s">
        <v>185</v>
      </c>
      <c r="T52" s="63"/>
      <c r="U52" s="64"/>
      <c r="V52" s="64"/>
      <c r="W52" s="65"/>
      <c r="X52" s="62" t="s">
        <v>186</v>
      </c>
      <c r="Y52" s="63"/>
      <c r="Z52" s="64"/>
      <c r="AA52" s="64"/>
      <c r="AB52" s="65"/>
    </row>
    <row r="53" spans="1:28" ht="49.9" customHeight="1" x14ac:dyDescent="0.35">
      <c r="A53" s="7">
        <v>1</v>
      </c>
      <c r="B53" s="6" t="s">
        <v>187</v>
      </c>
      <c r="C53" s="48">
        <v>1</v>
      </c>
      <c r="D53" s="52"/>
      <c r="E53" s="48">
        <v>1</v>
      </c>
      <c r="F53" s="52"/>
      <c r="G53" s="48">
        <v>1</v>
      </c>
      <c r="H53" s="49"/>
      <c r="I53" s="7">
        <v>1</v>
      </c>
      <c r="J53" s="6" t="s">
        <v>188</v>
      </c>
      <c r="K53" s="34">
        <v>0</v>
      </c>
      <c r="L53" s="34">
        <v>0</v>
      </c>
      <c r="M53" s="22">
        <v>2</v>
      </c>
      <c r="N53" s="7">
        <v>1</v>
      </c>
      <c r="O53" s="6" t="s">
        <v>189</v>
      </c>
      <c r="P53" s="34">
        <v>0</v>
      </c>
      <c r="Q53" s="34">
        <v>0</v>
      </c>
      <c r="R53" s="22">
        <v>1</v>
      </c>
      <c r="S53" s="7">
        <v>1</v>
      </c>
      <c r="T53" s="6" t="s">
        <v>190</v>
      </c>
      <c r="U53" s="34">
        <v>0</v>
      </c>
      <c r="V53" s="34">
        <v>0</v>
      </c>
      <c r="W53" s="22">
        <v>1</v>
      </c>
      <c r="X53" s="7">
        <v>1</v>
      </c>
      <c r="Y53" s="6" t="s">
        <v>191</v>
      </c>
      <c r="Z53" s="34"/>
      <c r="AA53" s="34">
        <v>0</v>
      </c>
      <c r="AB53" s="22">
        <v>2</v>
      </c>
    </row>
    <row r="54" spans="1:28" ht="49.9" customHeight="1" x14ac:dyDescent="0.35">
      <c r="A54" s="7">
        <v>2</v>
      </c>
      <c r="B54" s="6" t="s">
        <v>192</v>
      </c>
      <c r="C54" s="48">
        <v>1</v>
      </c>
      <c r="D54" s="52"/>
      <c r="E54" s="48">
        <v>1</v>
      </c>
      <c r="F54" s="52"/>
      <c r="G54" s="48">
        <v>1</v>
      </c>
      <c r="H54" s="49"/>
      <c r="I54" s="7">
        <v>2</v>
      </c>
      <c r="J54" s="6" t="s">
        <v>193</v>
      </c>
      <c r="K54" s="34">
        <v>0</v>
      </c>
      <c r="L54" s="34">
        <v>0</v>
      </c>
      <c r="M54" s="22">
        <v>2</v>
      </c>
      <c r="N54" s="7">
        <v>2</v>
      </c>
      <c r="O54" s="6" t="s">
        <v>194</v>
      </c>
      <c r="P54" s="34">
        <v>0</v>
      </c>
      <c r="Q54" s="34">
        <v>0</v>
      </c>
      <c r="R54" s="22">
        <v>1</v>
      </c>
      <c r="S54" s="7">
        <v>2</v>
      </c>
      <c r="T54" s="6" t="s">
        <v>195</v>
      </c>
      <c r="U54" s="34">
        <v>0</v>
      </c>
      <c r="V54" s="34">
        <v>0</v>
      </c>
      <c r="W54" s="22">
        <v>1</v>
      </c>
      <c r="X54" s="7">
        <v>2</v>
      </c>
      <c r="Y54" s="6" t="s">
        <v>196</v>
      </c>
      <c r="Z54" s="34">
        <v>0</v>
      </c>
      <c r="AA54" s="34">
        <v>0</v>
      </c>
      <c r="AB54" s="22">
        <v>2</v>
      </c>
    </row>
    <row r="55" spans="1:28" ht="49.9" customHeight="1" x14ac:dyDescent="0.35">
      <c r="A55" s="7">
        <v>3</v>
      </c>
      <c r="B55" s="6" t="s">
        <v>197</v>
      </c>
      <c r="C55" s="48">
        <v>1</v>
      </c>
      <c r="D55" s="52"/>
      <c r="E55" s="48">
        <v>1</v>
      </c>
      <c r="F55" s="52"/>
      <c r="G55" s="48">
        <v>1</v>
      </c>
      <c r="H55" s="49"/>
      <c r="I55" s="7">
        <v>3</v>
      </c>
      <c r="J55" s="6" t="s">
        <v>198</v>
      </c>
      <c r="K55" s="34">
        <v>1</v>
      </c>
      <c r="L55" s="34">
        <v>1</v>
      </c>
      <c r="M55" s="22">
        <v>2</v>
      </c>
      <c r="N55" s="7">
        <v>3</v>
      </c>
      <c r="O55" s="6" t="s">
        <v>199</v>
      </c>
      <c r="P55" s="34">
        <v>1</v>
      </c>
      <c r="Q55" s="34">
        <v>1</v>
      </c>
      <c r="R55" s="22">
        <v>1</v>
      </c>
      <c r="S55" s="7">
        <v>3</v>
      </c>
      <c r="T55" s="6" t="s">
        <v>200</v>
      </c>
      <c r="U55" s="34">
        <v>1</v>
      </c>
      <c r="V55" s="34">
        <v>1</v>
      </c>
      <c r="W55" s="22">
        <v>1</v>
      </c>
      <c r="X55" s="7">
        <v>3</v>
      </c>
      <c r="Y55" s="6" t="s">
        <v>201</v>
      </c>
      <c r="Z55" s="34">
        <v>1</v>
      </c>
      <c r="AA55" s="34">
        <v>1</v>
      </c>
      <c r="AB55" s="22">
        <v>2</v>
      </c>
    </row>
    <row r="56" spans="1:28" ht="49.9" customHeight="1" x14ac:dyDescent="0.35">
      <c r="A56" s="7">
        <v>4</v>
      </c>
      <c r="B56" s="6" t="s">
        <v>202</v>
      </c>
      <c r="C56" s="48">
        <v>1</v>
      </c>
      <c r="D56" s="52"/>
      <c r="E56" s="48">
        <v>1</v>
      </c>
      <c r="F56" s="52"/>
      <c r="G56" s="48">
        <v>1</v>
      </c>
      <c r="H56" s="49"/>
      <c r="I56" s="7">
        <v>4</v>
      </c>
      <c r="J56" s="6" t="s">
        <v>203</v>
      </c>
      <c r="K56" s="34">
        <v>1</v>
      </c>
      <c r="L56" s="34">
        <v>1</v>
      </c>
      <c r="M56" s="22">
        <v>2</v>
      </c>
      <c r="N56" s="7">
        <v>4</v>
      </c>
      <c r="O56" s="6" t="s">
        <v>204</v>
      </c>
      <c r="P56" s="34">
        <v>1</v>
      </c>
      <c r="Q56" s="34">
        <v>1</v>
      </c>
      <c r="R56" s="22">
        <v>1</v>
      </c>
      <c r="S56" s="7">
        <v>4</v>
      </c>
      <c r="T56" s="6" t="s">
        <v>205</v>
      </c>
      <c r="U56" s="34">
        <v>1</v>
      </c>
      <c r="V56" s="34">
        <v>1</v>
      </c>
      <c r="W56" s="22">
        <v>1</v>
      </c>
      <c r="X56" s="7">
        <v>4</v>
      </c>
      <c r="Y56" s="6" t="s">
        <v>206</v>
      </c>
      <c r="Z56" s="34">
        <v>1</v>
      </c>
      <c r="AA56" s="34">
        <v>1</v>
      </c>
      <c r="AB56" s="22">
        <v>2</v>
      </c>
    </row>
    <row r="57" spans="1:28" ht="49.9" customHeight="1" x14ac:dyDescent="0.35">
      <c r="A57" s="7">
        <v>5</v>
      </c>
      <c r="B57" s="6" t="s">
        <v>207</v>
      </c>
      <c r="C57" s="48">
        <v>2</v>
      </c>
      <c r="D57" s="52"/>
      <c r="E57" s="48">
        <v>2</v>
      </c>
      <c r="F57" s="52"/>
      <c r="G57" s="48">
        <v>2</v>
      </c>
      <c r="H57" s="49"/>
      <c r="I57" s="7">
        <v>5</v>
      </c>
      <c r="J57" s="6" t="s">
        <v>208</v>
      </c>
      <c r="K57" s="34">
        <v>1</v>
      </c>
      <c r="L57" s="34">
        <v>1</v>
      </c>
      <c r="M57" s="22">
        <v>2</v>
      </c>
      <c r="N57" s="7">
        <v>5</v>
      </c>
      <c r="O57" s="6" t="s">
        <v>209</v>
      </c>
      <c r="P57" s="34">
        <v>1</v>
      </c>
      <c r="Q57" s="34">
        <v>1</v>
      </c>
      <c r="R57" s="22">
        <v>1</v>
      </c>
      <c r="S57" s="7">
        <v>5</v>
      </c>
      <c r="T57" s="6" t="s">
        <v>210</v>
      </c>
      <c r="U57" s="34">
        <v>1</v>
      </c>
      <c r="V57" s="34">
        <v>1</v>
      </c>
      <c r="W57" s="22">
        <v>1</v>
      </c>
      <c r="X57" s="7">
        <v>5</v>
      </c>
      <c r="Y57" s="6" t="s">
        <v>211</v>
      </c>
      <c r="Z57" s="34">
        <v>2</v>
      </c>
      <c r="AA57" s="34">
        <v>2</v>
      </c>
      <c r="AB57" s="22">
        <v>2</v>
      </c>
    </row>
    <row r="58" spans="1:28" ht="49.9" customHeight="1" x14ac:dyDescent="0.35">
      <c r="A58" s="7">
        <v>6</v>
      </c>
      <c r="B58" s="6" t="s">
        <v>212</v>
      </c>
      <c r="C58" s="48">
        <v>2</v>
      </c>
      <c r="D58" s="52"/>
      <c r="E58" s="48">
        <v>2</v>
      </c>
      <c r="F58" s="52"/>
      <c r="G58" s="48">
        <v>2</v>
      </c>
      <c r="H58" s="49"/>
      <c r="I58" s="7">
        <v>6</v>
      </c>
      <c r="J58" s="6" t="s">
        <v>213</v>
      </c>
      <c r="K58" s="34">
        <v>2</v>
      </c>
      <c r="L58" s="34">
        <v>2</v>
      </c>
      <c r="M58" s="22">
        <v>1</v>
      </c>
      <c r="N58" s="7">
        <v>6</v>
      </c>
      <c r="O58" s="6" t="s">
        <v>214</v>
      </c>
      <c r="P58" s="34">
        <v>2</v>
      </c>
      <c r="Q58" s="34">
        <v>2</v>
      </c>
      <c r="R58" s="22">
        <v>2</v>
      </c>
      <c r="S58" s="7">
        <v>6</v>
      </c>
      <c r="T58" s="6" t="s">
        <v>215</v>
      </c>
      <c r="U58" s="34">
        <v>2</v>
      </c>
      <c r="V58" s="34">
        <v>2</v>
      </c>
      <c r="W58" s="22">
        <v>1</v>
      </c>
      <c r="X58" s="7">
        <v>6</v>
      </c>
      <c r="Y58" s="6" t="s">
        <v>216</v>
      </c>
      <c r="Z58" s="34">
        <v>2</v>
      </c>
      <c r="AA58" s="34">
        <v>2</v>
      </c>
      <c r="AB58" s="22">
        <v>2</v>
      </c>
    </row>
    <row r="59" spans="1:28" ht="49.9" customHeight="1" x14ac:dyDescent="0.35">
      <c r="A59" s="7">
        <v>7</v>
      </c>
      <c r="B59" s="6" t="s">
        <v>217</v>
      </c>
      <c r="C59" s="48">
        <v>2</v>
      </c>
      <c r="D59" s="52"/>
      <c r="E59" s="48">
        <v>2</v>
      </c>
      <c r="F59" s="52"/>
      <c r="G59" s="48">
        <v>2</v>
      </c>
      <c r="H59" s="49"/>
      <c r="I59" s="7">
        <v>7</v>
      </c>
      <c r="J59" s="6" t="s">
        <v>218</v>
      </c>
      <c r="K59" s="34">
        <v>2</v>
      </c>
      <c r="L59" s="34">
        <v>2</v>
      </c>
      <c r="M59" s="22">
        <v>0</v>
      </c>
      <c r="N59" s="7">
        <v>7</v>
      </c>
      <c r="O59" s="6" t="s">
        <v>219</v>
      </c>
      <c r="P59" s="34">
        <v>2</v>
      </c>
      <c r="Q59" s="34">
        <v>2</v>
      </c>
      <c r="R59" s="22">
        <v>2</v>
      </c>
      <c r="S59" s="7">
        <v>7</v>
      </c>
      <c r="T59" s="6" t="s">
        <v>220</v>
      </c>
      <c r="U59" s="34">
        <v>2</v>
      </c>
      <c r="V59" s="34">
        <v>2</v>
      </c>
      <c r="W59" s="22">
        <v>2</v>
      </c>
      <c r="X59" s="7">
        <v>7</v>
      </c>
      <c r="Y59" s="6" t="s">
        <v>221</v>
      </c>
      <c r="Z59" s="34">
        <v>2</v>
      </c>
      <c r="AA59" s="34">
        <v>2</v>
      </c>
      <c r="AB59" s="22">
        <v>2</v>
      </c>
    </row>
    <row r="60" spans="1:28" ht="49.9" customHeight="1" x14ac:dyDescent="0.35">
      <c r="A60" s="7">
        <v>8</v>
      </c>
      <c r="B60" s="6" t="s">
        <v>222</v>
      </c>
      <c r="C60" s="48">
        <v>2</v>
      </c>
      <c r="D60" s="52"/>
      <c r="E60" s="48">
        <v>2</v>
      </c>
      <c r="F60" s="52"/>
      <c r="G60" s="48">
        <v>2</v>
      </c>
      <c r="H60" s="49"/>
      <c r="I60" s="7">
        <v>8</v>
      </c>
      <c r="J60" s="6" t="s">
        <v>223</v>
      </c>
      <c r="K60" s="34">
        <v>2</v>
      </c>
      <c r="L60" s="34">
        <v>2</v>
      </c>
      <c r="M60" s="22">
        <v>0</v>
      </c>
      <c r="N60" s="7">
        <v>8</v>
      </c>
      <c r="O60" s="6" t="s">
        <v>224</v>
      </c>
      <c r="P60" s="34">
        <v>2</v>
      </c>
      <c r="Q60" s="34">
        <v>2</v>
      </c>
      <c r="R60" s="22">
        <v>3</v>
      </c>
      <c r="S60" s="7">
        <v>8</v>
      </c>
      <c r="T60" s="6" t="s">
        <v>225</v>
      </c>
      <c r="U60" s="34">
        <v>2</v>
      </c>
      <c r="V60" s="34">
        <v>2</v>
      </c>
      <c r="W60" s="22">
        <v>2</v>
      </c>
      <c r="X60" s="7">
        <v>8</v>
      </c>
      <c r="Y60" s="6" t="s">
        <v>226</v>
      </c>
      <c r="Z60" s="34">
        <v>2</v>
      </c>
      <c r="AA60" s="34">
        <v>2</v>
      </c>
      <c r="AB60" s="22">
        <v>2</v>
      </c>
    </row>
    <row r="61" spans="1:28" ht="49.9" customHeight="1" x14ac:dyDescent="0.35">
      <c r="A61" s="7">
        <v>9</v>
      </c>
      <c r="B61" s="6" t="s">
        <v>227</v>
      </c>
      <c r="C61" s="48">
        <v>1</v>
      </c>
      <c r="D61" s="52"/>
      <c r="E61" s="48">
        <v>1</v>
      </c>
      <c r="F61" s="52"/>
      <c r="G61" s="48">
        <v>2</v>
      </c>
      <c r="H61" s="49"/>
      <c r="I61" s="7">
        <v>9</v>
      </c>
      <c r="J61" s="6" t="s">
        <v>228</v>
      </c>
      <c r="K61" s="34">
        <v>0</v>
      </c>
      <c r="L61" s="34">
        <v>0</v>
      </c>
      <c r="M61" s="22">
        <v>0</v>
      </c>
      <c r="N61" s="7">
        <v>9</v>
      </c>
      <c r="O61" s="6" t="s">
        <v>229</v>
      </c>
      <c r="P61" s="34">
        <v>2</v>
      </c>
      <c r="Q61" s="34">
        <v>2</v>
      </c>
      <c r="R61" s="22">
        <v>2</v>
      </c>
      <c r="S61" s="7">
        <v>9</v>
      </c>
      <c r="T61" s="6" t="s">
        <v>230</v>
      </c>
      <c r="U61" s="34">
        <v>2</v>
      </c>
      <c r="V61" s="34">
        <v>2</v>
      </c>
      <c r="W61" s="22">
        <v>2</v>
      </c>
      <c r="X61" s="7">
        <v>9</v>
      </c>
      <c r="Y61" s="6" t="s">
        <v>231</v>
      </c>
      <c r="Z61" s="34">
        <v>2</v>
      </c>
      <c r="AA61" s="34">
        <v>2</v>
      </c>
      <c r="AB61" s="22">
        <v>2</v>
      </c>
    </row>
    <row r="62" spans="1:28" ht="49.9" customHeight="1" thickBot="1" x14ac:dyDescent="0.4">
      <c r="A62" s="8">
        <v>10</v>
      </c>
      <c r="B62" s="9" t="s">
        <v>232</v>
      </c>
      <c r="C62" s="50">
        <v>1</v>
      </c>
      <c r="D62" s="53"/>
      <c r="E62" s="50">
        <v>3</v>
      </c>
      <c r="F62" s="53"/>
      <c r="G62" s="50">
        <v>1</v>
      </c>
      <c r="H62" s="51"/>
      <c r="I62" s="8">
        <v>10</v>
      </c>
      <c r="J62" s="9" t="s">
        <v>233</v>
      </c>
      <c r="K62" s="34">
        <v>0</v>
      </c>
      <c r="L62" s="34">
        <v>1</v>
      </c>
      <c r="M62" s="23">
        <v>2</v>
      </c>
      <c r="N62" s="8">
        <v>10</v>
      </c>
      <c r="O62" s="9" t="s">
        <v>234</v>
      </c>
      <c r="P62" s="34">
        <v>1</v>
      </c>
      <c r="Q62" s="34">
        <v>2</v>
      </c>
      <c r="R62" s="23">
        <v>0</v>
      </c>
      <c r="S62" s="8">
        <v>10</v>
      </c>
      <c r="T62" s="9" t="s">
        <v>235</v>
      </c>
      <c r="U62" s="34">
        <v>1</v>
      </c>
      <c r="V62" s="34">
        <v>1</v>
      </c>
      <c r="W62" s="23">
        <v>1</v>
      </c>
      <c r="X62" s="8">
        <v>10</v>
      </c>
      <c r="Y62" s="9" t="s">
        <v>236</v>
      </c>
      <c r="Z62" s="34">
        <v>2</v>
      </c>
      <c r="AA62" s="34">
        <v>2</v>
      </c>
      <c r="AB62" s="23">
        <v>2</v>
      </c>
    </row>
    <row r="63" spans="1:28" ht="40.15" customHeight="1" thickBot="1" x14ac:dyDescent="0.4">
      <c r="A63" s="101" t="s">
        <v>237</v>
      </c>
      <c r="B63" s="102"/>
      <c r="C63" s="54">
        <f>SUM(C20:C62)</f>
        <v>60</v>
      </c>
      <c r="D63" s="54"/>
      <c r="E63" s="54">
        <f>SUM(E20:E62)</f>
        <v>61</v>
      </c>
      <c r="F63" s="54"/>
      <c r="G63" s="54">
        <f>SUM(G20:G62)</f>
        <v>62</v>
      </c>
      <c r="H63" s="55"/>
      <c r="I63" s="101" t="s">
        <v>237</v>
      </c>
      <c r="J63" s="103"/>
      <c r="K63" s="35">
        <f>SUM(K20:K62)</f>
        <v>45</v>
      </c>
      <c r="L63" s="35">
        <f>SUM(L20:L62)</f>
        <v>46</v>
      </c>
      <c r="M63" s="21">
        <f>SUM(M19:M62)</f>
        <v>55</v>
      </c>
      <c r="N63" s="101" t="s">
        <v>237</v>
      </c>
      <c r="O63" s="102"/>
      <c r="P63" s="35">
        <f>SUM(P20:P62)</f>
        <v>48</v>
      </c>
      <c r="Q63" s="35">
        <f>SUM(Q20:Q62)</f>
        <v>49</v>
      </c>
      <c r="R63" s="21">
        <f>SUM(R19:R62)</f>
        <v>35</v>
      </c>
      <c r="S63" s="101" t="s">
        <v>237</v>
      </c>
      <c r="T63" s="103"/>
      <c r="U63" s="35">
        <f>SUM(U20:U62)</f>
        <v>48</v>
      </c>
      <c r="V63" s="35">
        <f>SUM(V20:V62)</f>
        <v>48</v>
      </c>
      <c r="W63" s="35">
        <f>SUM(W19:W62)</f>
        <v>48</v>
      </c>
      <c r="X63" s="101" t="s">
        <v>237</v>
      </c>
      <c r="Y63" s="103"/>
      <c r="Z63" s="35">
        <f>SUM(Z20:Z62)</f>
        <v>50</v>
      </c>
      <c r="AA63" s="35">
        <f>SUM(AA20:AA62)</f>
        <v>50</v>
      </c>
      <c r="AB63" s="36">
        <f>SUM(AB19:AB62)</f>
        <v>70</v>
      </c>
    </row>
    <row r="64" spans="1:28" ht="19.899999999999999" customHeight="1" thickBot="1" x14ac:dyDescent="0.45">
      <c r="A64" s="18"/>
      <c r="B64" s="19"/>
      <c r="C64" s="20"/>
      <c r="D64" s="20"/>
      <c r="E64" s="20"/>
      <c r="F64" s="20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0"/>
      <c r="T64" s="19"/>
      <c r="U64" s="19"/>
      <c r="V64" s="19"/>
      <c r="W64" s="18"/>
      <c r="X64" s="20"/>
      <c r="Y64" s="19"/>
      <c r="Z64" s="19"/>
      <c r="AA64" s="19"/>
      <c r="AB64" s="18"/>
    </row>
    <row r="65" spans="1:28" ht="40.15" customHeight="1" x14ac:dyDescent="0.4">
      <c r="A65" s="92" t="s">
        <v>238</v>
      </c>
      <c r="B65" s="93"/>
      <c r="C65" s="93"/>
      <c r="D65" s="93"/>
      <c r="E65" s="93"/>
      <c r="F65" s="93"/>
      <c r="G65" s="93"/>
      <c r="H65" s="94"/>
      <c r="I65" s="83" t="s">
        <v>239</v>
      </c>
      <c r="J65" s="84"/>
      <c r="K65" s="84"/>
      <c r="L65" s="84"/>
      <c r="M65" s="85"/>
      <c r="N65" s="18"/>
      <c r="O65" s="19"/>
      <c r="P65" s="19"/>
      <c r="Q65" s="19"/>
      <c r="R65" s="18"/>
      <c r="S65" s="20"/>
      <c r="T65" s="19"/>
      <c r="U65" s="19"/>
      <c r="V65" s="19"/>
      <c r="W65" s="18"/>
      <c r="X65" s="20"/>
      <c r="Y65" s="19"/>
      <c r="Z65" s="19"/>
      <c r="AA65" s="19"/>
      <c r="AB65" s="18"/>
    </row>
    <row r="66" spans="1:28" ht="30" customHeight="1" x14ac:dyDescent="0.4">
      <c r="A66" s="95" t="s">
        <v>240</v>
      </c>
      <c r="B66" s="96"/>
      <c r="C66" s="96"/>
      <c r="D66" s="96"/>
      <c r="E66" s="96"/>
      <c r="F66" s="96"/>
      <c r="G66" s="96"/>
      <c r="H66" s="97"/>
      <c r="I66" s="86"/>
      <c r="J66" s="87"/>
      <c r="K66" s="87"/>
      <c r="L66" s="87"/>
      <c r="M66" s="88"/>
      <c r="N66" s="3"/>
      <c r="O66" s="4"/>
      <c r="P66" s="4"/>
      <c r="Q66" s="4"/>
      <c r="R66" s="3"/>
      <c r="S66" s="5"/>
      <c r="T66" s="4"/>
      <c r="U66" s="4"/>
      <c r="V66" s="4"/>
      <c r="W66" s="3"/>
      <c r="X66" s="5"/>
      <c r="Y66" s="4"/>
      <c r="Z66" s="4"/>
      <c r="AA66" s="4"/>
      <c r="AB66" s="3"/>
    </row>
    <row r="67" spans="1:28" ht="30" customHeight="1" x14ac:dyDescent="0.4">
      <c r="A67" s="95" t="s">
        <v>241</v>
      </c>
      <c r="B67" s="96"/>
      <c r="C67" s="96"/>
      <c r="D67" s="96"/>
      <c r="E67" s="96"/>
      <c r="F67" s="96"/>
      <c r="G67" s="96"/>
      <c r="H67" s="97"/>
      <c r="I67" s="86"/>
      <c r="J67" s="87"/>
      <c r="K67" s="87"/>
      <c r="L67" s="87"/>
      <c r="M67" s="88"/>
      <c r="N67" s="3"/>
      <c r="O67" s="4"/>
      <c r="P67" s="4"/>
      <c r="Q67" s="4"/>
      <c r="R67" s="3"/>
      <c r="S67" s="5"/>
      <c r="T67" s="4"/>
      <c r="U67" s="4"/>
      <c r="V67" s="4"/>
      <c r="W67" s="3"/>
      <c r="X67" s="5"/>
      <c r="Y67" s="4"/>
      <c r="Z67" s="4"/>
      <c r="AA67" s="4"/>
      <c r="AB67" s="3"/>
    </row>
    <row r="68" spans="1:28" ht="30" customHeight="1" thickBot="1" x14ac:dyDescent="0.4">
      <c r="A68" s="98" t="s">
        <v>242</v>
      </c>
      <c r="B68" s="99"/>
      <c r="C68" s="99"/>
      <c r="D68" s="99"/>
      <c r="E68" s="99"/>
      <c r="F68" s="99"/>
      <c r="G68" s="99"/>
      <c r="H68" s="100"/>
      <c r="I68" s="89"/>
      <c r="J68" s="90"/>
      <c r="K68" s="90"/>
      <c r="L68" s="90"/>
      <c r="M68" s="91"/>
    </row>
  </sheetData>
  <sheetProtection algorithmName="SHA-512" hashValue="njdasRYIkWFvo1WlY2uG2L6g3o1FYZWT1ofV0wjOMFfsl8cQYruiFrohHdh2JOdyF9KxWqjYEpaa1JwADcFixA==" saltValue="eJlHqLKcpceENz1YdVzGag==" spinCount="100000" sheet="1" objects="1" scenarios="1" selectLockedCells="1"/>
  <mergeCells count="191">
    <mergeCell ref="X63:Y63"/>
    <mergeCell ref="G44:H44"/>
    <mergeCell ref="G45:H45"/>
    <mergeCell ref="G46:H46"/>
    <mergeCell ref="C43:D43"/>
    <mergeCell ref="C44:D44"/>
    <mergeCell ref="E42:F42"/>
    <mergeCell ref="E43:F43"/>
    <mergeCell ref="E44:F44"/>
    <mergeCell ref="G47:H47"/>
    <mergeCell ref="G48:H48"/>
    <mergeCell ref="E45:F45"/>
    <mergeCell ref="C45:D45"/>
    <mergeCell ref="C47:D47"/>
    <mergeCell ref="C48:D48"/>
    <mergeCell ref="E48:F48"/>
    <mergeCell ref="E49:F49"/>
    <mergeCell ref="C49:D49"/>
    <mergeCell ref="G49:H49"/>
    <mergeCell ref="C55:D55"/>
    <mergeCell ref="C56:D56"/>
    <mergeCell ref="C57:D57"/>
    <mergeCell ref="C58:D58"/>
    <mergeCell ref="E57:F57"/>
    <mergeCell ref="I65:M68"/>
    <mergeCell ref="A65:H65"/>
    <mergeCell ref="A66:H66"/>
    <mergeCell ref="A67:H67"/>
    <mergeCell ref="A68:H68"/>
    <mergeCell ref="A63:B63"/>
    <mergeCell ref="I63:J63"/>
    <mergeCell ref="N63:O63"/>
    <mergeCell ref="S63:T63"/>
    <mergeCell ref="A17:A18"/>
    <mergeCell ref="B17:B18"/>
    <mergeCell ref="C17:H17"/>
    <mergeCell ref="C20:D20"/>
    <mergeCell ref="C21:D21"/>
    <mergeCell ref="G20:H20"/>
    <mergeCell ref="G21:H21"/>
    <mergeCell ref="X41:AB41"/>
    <mergeCell ref="X52:AB52"/>
    <mergeCell ref="A19:H19"/>
    <mergeCell ref="I19:M19"/>
    <mergeCell ref="A30:H30"/>
    <mergeCell ref="A41:H41"/>
    <mergeCell ref="A52:H52"/>
    <mergeCell ref="I30:M30"/>
    <mergeCell ref="I41:M41"/>
    <mergeCell ref="I52:M52"/>
    <mergeCell ref="E27:F27"/>
    <mergeCell ref="E28:F28"/>
    <mergeCell ref="E29:F29"/>
    <mergeCell ref="C22:D22"/>
    <mergeCell ref="C23:D23"/>
    <mergeCell ref="C24:D24"/>
    <mergeCell ref="C25:D25"/>
    <mergeCell ref="N19:R19"/>
    <mergeCell ref="N30:R30"/>
    <mergeCell ref="N41:R41"/>
    <mergeCell ref="N52:R52"/>
    <mergeCell ref="S19:W19"/>
    <mergeCell ref="S30:W30"/>
    <mergeCell ref="S41:W41"/>
    <mergeCell ref="S52:W52"/>
    <mergeCell ref="C34:D34"/>
    <mergeCell ref="E34:F34"/>
    <mergeCell ref="G34:H34"/>
    <mergeCell ref="C31:D31"/>
    <mergeCell ref="C32:D32"/>
    <mergeCell ref="C33:D33"/>
    <mergeCell ref="E31:F31"/>
    <mergeCell ref="G31:H31"/>
    <mergeCell ref="E32:F32"/>
    <mergeCell ref="G32:H32"/>
    <mergeCell ref="E33:F33"/>
    <mergeCell ref="G33:H33"/>
    <mergeCell ref="G35:H35"/>
    <mergeCell ref="E35:F35"/>
    <mergeCell ref="C35:D35"/>
    <mergeCell ref="X19:AB19"/>
    <mergeCell ref="X30:AB30"/>
    <mergeCell ref="A9:B9"/>
    <mergeCell ref="A10:B10"/>
    <mergeCell ref="A1:AB1"/>
    <mergeCell ref="A11:B11"/>
    <mergeCell ref="A12:B12"/>
    <mergeCell ref="A13:B13"/>
    <mergeCell ref="A14:B14"/>
    <mergeCell ref="I16:M16"/>
    <mergeCell ref="N16:R16"/>
    <mergeCell ref="S16:W16"/>
    <mergeCell ref="X16:AB16"/>
    <mergeCell ref="B5:H5"/>
    <mergeCell ref="B6:H6"/>
    <mergeCell ref="B7:H7"/>
    <mergeCell ref="B3:H3"/>
    <mergeCell ref="B4:H4"/>
    <mergeCell ref="A16:H16"/>
    <mergeCell ref="G27:H27"/>
    <mergeCell ref="G28:H28"/>
    <mergeCell ref="G29:H29"/>
    <mergeCell ref="C18:D18"/>
    <mergeCell ref="E18:F18"/>
    <mergeCell ref="G22:H22"/>
    <mergeCell ref="G23:H23"/>
    <mergeCell ref="G24:H24"/>
    <mergeCell ref="G25:H25"/>
    <mergeCell ref="G26:H26"/>
    <mergeCell ref="C27:D27"/>
    <mergeCell ref="C28:D28"/>
    <mergeCell ref="C29:D29"/>
    <mergeCell ref="E20:F20"/>
    <mergeCell ref="E21:F21"/>
    <mergeCell ref="E22:F22"/>
    <mergeCell ref="E23:F23"/>
    <mergeCell ref="E24:F24"/>
    <mergeCell ref="E25:F25"/>
    <mergeCell ref="E26:F26"/>
    <mergeCell ref="C26:D26"/>
    <mergeCell ref="C36:D36"/>
    <mergeCell ref="E36:F36"/>
    <mergeCell ref="G36:H36"/>
    <mergeCell ref="C63:D63"/>
    <mergeCell ref="E63:F63"/>
    <mergeCell ref="G63:H63"/>
    <mergeCell ref="C37:D37"/>
    <mergeCell ref="C38:D38"/>
    <mergeCell ref="C39:D39"/>
    <mergeCell ref="C40:D40"/>
    <mergeCell ref="C42:D42"/>
    <mergeCell ref="G37:H37"/>
    <mergeCell ref="G38:H38"/>
    <mergeCell ref="G39:H39"/>
    <mergeCell ref="G40:H40"/>
    <mergeCell ref="E38:F38"/>
    <mergeCell ref="E37:F37"/>
    <mergeCell ref="E39:F39"/>
    <mergeCell ref="E40:F40"/>
    <mergeCell ref="G42:H42"/>
    <mergeCell ref="G43:H43"/>
    <mergeCell ref="C46:D46"/>
    <mergeCell ref="E46:F46"/>
    <mergeCell ref="E47:F47"/>
    <mergeCell ref="E58:F58"/>
    <mergeCell ref="G55:H55"/>
    <mergeCell ref="G50:H50"/>
    <mergeCell ref="G51:H51"/>
    <mergeCell ref="E50:F50"/>
    <mergeCell ref="E51:F51"/>
    <mergeCell ref="C50:D50"/>
    <mergeCell ref="C51:D51"/>
    <mergeCell ref="G56:H56"/>
    <mergeCell ref="G57:H57"/>
    <mergeCell ref="G58:H58"/>
    <mergeCell ref="E55:F55"/>
    <mergeCell ref="E56:F56"/>
    <mergeCell ref="C53:D53"/>
    <mergeCell ref="C54:D54"/>
    <mergeCell ref="E53:F53"/>
    <mergeCell ref="E54:F54"/>
    <mergeCell ref="G53:H53"/>
    <mergeCell ref="G54:H54"/>
    <mergeCell ref="G61:H61"/>
    <mergeCell ref="G62:H62"/>
    <mergeCell ref="E61:F61"/>
    <mergeCell ref="E62:F62"/>
    <mergeCell ref="C62:D62"/>
    <mergeCell ref="C61:D61"/>
    <mergeCell ref="C59:D59"/>
    <mergeCell ref="E60:F60"/>
    <mergeCell ref="E59:F59"/>
    <mergeCell ref="G59:H59"/>
    <mergeCell ref="G60:H60"/>
    <mergeCell ref="C60:D60"/>
    <mergeCell ref="Y17:Y18"/>
    <mergeCell ref="Z17:AB17"/>
    <mergeCell ref="U17:W17"/>
    <mergeCell ref="P17:R17"/>
    <mergeCell ref="C9:D9"/>
    <mergeCell ref="E9:F9"/>
    <mergeCell ref="G9:H9"/>
    <mergeCell ref="N17:N18"/>
    <mergeCell ref="O17:O18"/>
    <mergeCell ref="S17:S18"/>
    <mergeCell ref="T17:T18"/>
    <mergeCell ref="X17:X18"/>
    <mergeCell ref="K17:M17"/>
    <mergeCell ref="I17:I18"/>
    <mergeCell ref="J17:J18"/>
    <mergeCell ref="G18:H18"/>
  </mergeCells>
  <phoneticPr fontId="16" type="noConversion"/>
  <pageMargins left="0.511811024" right="0.511811024" top="0.78740157499999996" bottom="0.78740157499999996" header="0.31496062000000002" footer="0.31496062000000002"/>
  <ignoredErrors>
    <ignoredError sqref="G11:G14 F10:G10 E11:E14 D10:E1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Meus Progressos</dc:title>
  <dc:subject/>
  <dc:creator>Fábio Coelho;Victor Cardoso</dc:creator>
  <cp:keywords>Academia do Autismo</cp:keywords>
  <dc:description/>
  <cp:lastModifiedBy>Roberta Franco Machado Barbosa</cp:lastModifiedBy>
  <cp:revision/>
  <dcterms:created xsi:type="dcterms:W3CDTF">2024-10-17T15:56:52Z</dcterms:created>
  <dcterms:modified xsi:type="dcterms:W3CDTF">2025-07-08T19:39:30Z</dcterms:modified>
  <cp:category/>
  <cp:contentStatus/>
</cp:coreProperties>
</file>